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ga\Desktop\Hero of the Flies\excel_files\"/>
    </mc:Choice>
  </mc:AlternateContent>
  <bookViews>
    <workbookView xWindow="0" yWindow="0" windowWidth="23040" windowHeight="9264" tabRatio="355"/>
  </bookViews>
  <sheets>
    <sheet name="df_h3" sheetId="1" r:id="rId1"/>
  </sheets>
  <definedNames>
    <definedName name="_xlnm._FilterDatabase" localSheetId="0" hidden="1">df_h3!$A$1:$AK$158</definedName>
  </definedNames>
  <calcPr calcId="152511"/>
</workbook>
</file>

<file path=xl/calcChain.xml><?xml version="1.0" encoding="utf-8"?>
<calcChain xmlns="http://schemas.openxmlformats.org/spreadsheetml/2006/main">
  <c r="AA18" i="1" l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AG2" i="1"/>
  <c r="AH143" i="1" l="1"/>
  <c r="AJ143" i="1" s="1"/>
  <c r="AH144" i="1"/>
  <c r="AJ144" i="1" s="1"/>
  <c r="AH145" i="1"/>
  <c r="AJ145" i="1" s="1"/>
  <c r="AH146" i="1"/>
  <c r="AJ146" i="1" s="1"/>
  <c r="AH147" i="1"/>
  <c r="AJ147" i="1" s="1"/>
  <c r="AH148" i="1"/>
  <c r="AJ148" i="1" s="1"/>
  <c r="AH149" i="1"/>
  <c r="AJ149" i="1" s="1"/>
  <c r="AH150" i="1"/>
  <c r="AJ150" i="1" s="1"/>
  <c r="AH151" i="1"/>
  <c r="AJ151" i="1" s="1"/>
  <c r="AH152" i="1"/>
  <c r="AJ152" i="1" s="1"/>
  <c r="AH153" i="1"/>
  <c r="AJ153" i="1" s="1"/>
  <c r="AH154" i="1"/>
  <c r="AJ154" i="1" s="1"/>
  <c r="AH155" i="1"/>
  <c r="AJ155" i="1" s="1"/>
  <c r="AH156" i="1"/>
  <c r="AJ156" i="1" s="1"/>
  <c r="AH157" i="1"/>
  <c r="AJ157" i="1" s="1"/>
  <c r="AH158" i="1"/>
  <c r="AJ158" i="1" s="1"/>
  <c r="AH3" i="1"/>
  <c r="AJ3" i="1" s="1"/>
  <c r="AH4" i="1"/>
  <c r="AJ4" i="1" s="1"/>
  <c r="AH5" i="1"/>
  <c r="AJ5" i="1" s="1"/>
  <c r="AH6" i="1"/>
  <c r="AJ6" i="1" s="1"/>
  <c r="AH7" i="1"/>
  <c r="AJ7" i="1" s="1"/>
  <c r="AH8" i="1"/>
  <c r="AJ8" i="1" s="1"/>
  <c r="AH9" i="1"/>
  <c r="AJ9" i="1" s="1"/>
  <c r="AH10" i="1"/>
  <c r="AJ10" i="1" s="1"/>
  <c r="AH11" i="1"/>
  <c r="AJ11" i="1" s="1"/>
  <c r="AH12" i="1"/>
  <c r="AJ12" i="1" s="1"/>
  <c r="AH13" i="1"/>
  <c r="AJ13" i="1" s="1"/>
  <c r="AH14" i="1"/>
  <c r="AJ14" i="1" s="1"/>
  <c r="AH15" i="1"/>
  <c r="AJ15" i="1" s="1"/>
  <c r="AH16" i="1"/>
  <c r="AJ16" i="1" s="1"/>
  <c r="AH17" i="1"/>
  <c r="AJ17" i="1" s="1"/>
  <c r="AH18" i="1"/>
  <c r="AJ18" i="1" s="1"/>
  <c r="AH19" i="1"/>
  <c r="AJ19" i="1" s="1"/>
  <c r="AH20" i="1"/>
  <c r="AJ20" i="1" s="1"/>
  <c r="AH21" i="1"/>
  <c r="AJ21" i="1" s="1"/>
  <c r="AH22" i="1"/>
  <c r="AJ22" i="1" s="1"/>
  <c r="AH23" i="1"/>
  <c r="AJ23" i="1" s="1"/>
  <c r="AH24" i="1"/>
  <c r="AJ24" i="1" s="1"/>
  <c r="AH25" i="1"/>
  <c r="AJ25" i="1" s="1"/>
  <c r="AH26" i="1"/>
  <c r="AJ26" i="1" s="1"/>
  <c r="AH27" i="1"/>
  <c r="AJ27" i="1" s="1"/>
  <c r="AH28" i="1"/>
  <c r="AJ28" i="1" s="1"/>
  <c r="AH29" i="1"/>
  <c r="AJ29" i="1" s="1"/>
  <c r="AH30" i="1"/>
  <c r="AJ30" i="1" s="1"/>
  <c r="AH31" i="1"/>
  <c r="AJ31" i="1" s="1"/>
  <c r="AH32" i="1"/>
  <c r="AJ32" i="1" s="1"/>
  <c r="AH33" i="1"/>
  <c r="AJ33" i="1" s="1"/>
  <c r="AH34" i="1"/>
  <c r="AJ34" i="1" s="1"/>
  <c r="AH35" i="1"/>
  <c r="AJ35" i="1" s="1"/>
  <c r="AH36" i="1"/>
  <c r="AJ36" i="1" s="1"/>
  <c r="AH37" i="1"/>
  <c r="AJ37" i="1" s="1"/>
  <c r="AH38" i="1"/>
  <c r="AJ38" i="1" s="1"/>
  <c r="AH39" i="1"/>
  <c r="AJ39" i="1" s="1"/>
  <c r="AH40" i="1"/>
  <c r="AJ40" i="1" s="1"/>
  <c r="AH41" i="1"/>
  <c r="AJ41" i="1" s="1"/>
  <c r="AH42" i="1"/>
  <c r="AJ42" i="1" s="1"/>
  <c r="AH43" i="1"/>
  <c r="AJ43" i="1" s="1"/>
  <c r="AH44" i="1"/>
  <c r="AJ44" i="1" s="1"/>
  <c r="AH45" i="1"/>
  <c r="AJ45" i="1" s="1"/>
  <c r="AH46" i="1"/>
  <c r="AJ46" i="1" s="1"/>
  <c r="AH47" i="1"/>
  <c r="AJ47" i="1" s="1"/>
  <c r="AH48" i="1"/>
  <c r="AJ48" i="1" s="1"/>
  <c r="AH49" i="1"/>
  <c r="AJ49" i="1" s="1"/>
  <c r="AH50" i="1"/>
  <c r="AJ50" i="1" s="1"/>
  <c r="AH51" i="1"/>
  <c r="AJ51" i="1" s="1"/>
  <c r="AH52" i="1"/>
  <c r="AJ52" i="1" s="1"/>
  <c r="AH53" i="1"/>
  <c r="AJ53" i="1" s="1"/>
  <c r="AH54" i="1"/>
  <c r="AJ54" i="1" s="1"/>
  <c r="AH55" i="1"/>
  <c r="AJ55" i="1" s="1"/>
  <c r="AH56" i="1"/>
  <c r="AJ56" i="1" s="1"/>
  <c r="AH57" i="1"/>
  <c r="AJ57" i="1" s="1"/>
  <c r="AH58" i="1"/>
  <c r="AJ58" i="1" s="1"/>
  <c r="AH59" i="1"/>
  <c r="AJ59" i="1" s="1"/>
  <c r="AH60" i="1"/>
  <c r="AJ60" i="1" s="1"/>
  <c r="AH61" i="1"/>
  <c r="AJ61" i="1" s="1"/>
  <c r="AH62" i="1"/>
  <c r="AJ62" i="1" s="1"/>
  <c r="AH63" i="1"/>
  <c r="AJ63" i="1" s="1"/>
  <c r="AH64" i="1"/>
  <c r="AJ64" i="1" s="1"/>
  <c r="AH65" i="1"/>
  <c r="AJ65" i="1" s="1"/>
  <c r="AH66" i="1"/>
  <c r="AJ66" i="1" s="1"/>
  <c r="AH67" i="1"/>
  <c r="AJ67" i="1" s="1"/>
  <c r="AH68" i="1"/>
  <c r="AJ68" i="1" s="1"/>
  <c r="AH69" i="1"/>
  <c r="AJ69" i="1" s="1"/>
  <c r="AH70" i="1"/>
  <c r="AJ70" i="1" s="1"/>
  <c r="AH71" i="1"/>
  <c r="AJ71" i="1" s="1"/>
  <c r="AH72" i="1"/>
  <c r="AJ72" i="1" s="1"/>
  <c r="AH73" i="1"/>
  <c r="AJ73" i="1" s="1"/>
  <c r="AH74" i="1"/>
  <c r="AJ74" i="1" s="1"/>
  <c r="AH75" i="1"/>
  <c r="AJ75" i="1" s="1"/>
  <c r="AH76" i="1"/>
  <c r="AJ76" i="1" s="1"/>
  <c r="AH77" i="1"/>
  <c r="AJ77" i="1" s="1"/>
  <c r="AH78" i="1"/>
  <c r="AJ78" i="1" s="1"/>
  <c r="AH79" i="1"/>
  <c r="AJ79" i="1" s="1"/>
  <c r="AH80" i="1"/>
  <c r="AJ80" i="1" s="1"/>
  <c r="AH81" i="1"/>
  <c r="AJ81" i="1" s="1"/>
  <c r="AH82" i="1"/>
  <c r="AJ82" i="1" s="1"/>
  <c r="AH83" i="1"/>
  <c r="AJ83" i="1" s="1"/>
  <c r="AH84" i="1"/>
  <c r="AJ84" i="1" s="1"/>
  <c r="AH85" i="1"/>
  <c r="AJ85" i="1" s="1"/>
  <c r="AH86" i="1"/>
  <c r="AJ86" i="1" s="1"/>
  <c r="AH87" i="1"/>
  <c r="AJ87" i="1" s="1"/>
  <c r="AH88" i="1"/>
  <c r="AJ88" i="1" s="1"/>
  <c r="AH89" i="1"/>
  <c r="AJ89" i="1" s="1"/>
  <c r="AH90" i="1"/>
  <c r="AJ90" i="1" s="1"/>
  <c r="AH91" i="1"/>
  <c r="AJ91" i="1" s="1"/>
  <c r="AH92" i="1"/>
  <c r="AJ92" i="1" s="1"/>
  <c r="AH93" i="1"/>
  <c r="AJ93" i="1" s="1"/>
  <c r="AH94" i="1"/>
  <c r="AJ94" i="1" s="1"/>
  <c r="AH95" i="1"/>
  <c r="AJ95" i="1" s="1"/>
  <c r="AH96" i="1"/>
  <c r="AJ96" i="1" s="1"/>
  <c r="AH97" i="1"/>
  <c r="AJ97" i="1" s="1"/>
  <c r="AH98" i="1"/>
  <c r="AJ98" i="1" s="1"/>
  <c r="AH99" i="1"/>
  <c r="AJ99" i="1" s="1"/>
  <c r="AH100" i="1"/>
  <c r="AJ100" i="1" s="1"/>
  <c r="AH101" i="1"/>
  <c r="AJ101" i="1" s="1"/>
  <c r="AH102" i="1"/>
  <c r="AJ102" i="1" s="1"/>
  <c r="AH103" i="1"/>
  <c r="AJ103" i="1" s="1"/>
  <c r="AH104" i="1"/>
  <c r="AJ104" i="1" s="1"/>
  <c r="AH105" i="1"/>
  <c r="AJ105" i="1" s="1"/>
  <c r="AH106" i="1"/>
  <c r="AJ106" i="1" s="1"/>
  <c r="AH107" i="1"/>
  <c r="AJ107" i="1" s="1"/>
  <c r="AH108" i="1"/>
  <c r="AJ108" i="1" s="1"/>
  <c r="AH109" i="1"/>
  <c r="AJ109" i="1" s="1"/>
  <c r="AH110" i="1"/>
  <c r="AJ110" i="1" s="1"/>
  <c r="AH111" i="1"/>
  <c r="AJ111" i="1" s="1"/>
  <c r="AH112" i="1"/>
  <c r="AJ112" i="1" s="1"/>
  <c r="AH113" i="1"/>
  <c r="AJ113" i="1" s="1"/>
  <c r="AH114" i="1"/>
  <c r="AJ114" i="1" s="1"/>
  <c r="AH115" i="1"/>
  <c r="AJ115" i="1" s="1"/>
  <c r="AH116" i="1"/>
  <c r="AJ116" i="1" s="1"/>
  <c r="AH117" i="1"/>
  <c r="AJ117" i="1" s="1"/>
  <c r="AH118" i="1"/>
  <c r="AJ118" i="1" s="1"/>
  <c r="AH119" i="1"/>
  <c r="AJ119" i="1" s="1"/>
  <c r="AH120" i="1"/>
  <c r="AJ120" i="1" s="1"/>
  <c r="AH121" i="1"/>
  <c r="AJ121" i="1" s="1"/>
  <c r="AH122" i="1"/>
  <c r="AJ122" i="1" s="1"/>
  <c r="AH123" i="1"/>
  <c r="AJ123" i="1" s="1"/>
  <c r="AH124" i="1"/>
  <c r="AJ124" i="1" s="1"/>
  <c r="AH125" i="1"/>
  <c r="AJ125" i="1" s="1"/>
  <c r="AH126" i="1"/>
  <c r="AJ126" i="1" s="1"/>
  <c r="AH127" i="1"/>
  <c r="AJ127" i="1" s="1"/>
  <c r="AH128" i="1"/>
  <c r="AJ128" i="1" s="1"/>
  <c r="AH129" i="1"/>
  <c r="AJ129" i="1" s="1"/>
  <c r="AH130" i="1"/>
  <c r="AJ130" i="1" s="1"/>
  <c r="AH131" i="1"/>
  <c r="AJ131" i="1" s="1"/>
  <c r="AH132" i="1"/>
  <c r="AJ132" i="1" s="1"/>
  <c r="AH133" i="1"/>
  <c r="AJ133" i="1" s="1"/>
  <c r="AH134" i="1"/>
  <c r="AJ134" i="1" s="1"/>
  <c r="AH135" i="1"/>
  <c r="AJ135" i="1" s="1"/>
  <c r="AH136" i="1"/>
  <c r="AJ136" i="1" s="1"/>
  <c r="AH137" i="1"/>
  <c r="AJ137" i="1" s="1"/>
  <c r="AH138" i="1"/>
  <c r="AJ138" i="1" s="1"/>
  <c r="AH139" i="1"/>
  <c r="AJ139" i="1" s="1"/>
  <c r="AH140" i="1"/>
  <c r="AJ140" i="1" s="1"/>
  <c r="AH141" i="1"/>
  <c r="AJ141" i="1" s="1"/>
  <c r="AH142" i="1"/>
  <c r="AJ142" i="1" s="1"/>
  <c r="AH2" i="1"/>
  <c r="AJ2" i="1" s="1"/>
  <c r="AG3" i="1"/>
  <c r="AI3" i="1" s="1"/>
  <c r="AG4" i="1"/>
  <c r="AI4" i="1" s="1"/>
  <c r="AG5" i="1"/>
  <c r="AI5" i="1" s="1"/>
  <c r="AG6" i="1"/>
  <c r="AI6" i="1" s="1"/>
  <c r="AG7" i="1"/>
  <c r="AI7" i="1" s="1"/>
  <c r="AG8" i="1"/>
  <c r="AI8" i="1" s="1"/>
  <c r="AG9" i="1"/>
  <c r="AI9" i="1" s="1"/>
  <c r="AG10" i="1"/>
  <c r="AI10" i="1" s="1"/>
  <c r="AG11" i="1"/>
  <c r="AI11" i="1" s="1"/>
  <c r="AG12" i="1"/>
  <c r="AI12" i="1" s="1"/>
  <c r="AG13" i="1"/>
  <c r="AI13" i="1" s="1"/>
  <c r="AG14" i="1"/>
  <c r="AI14" i="1" s="1"/>
  <c r="AG15" i="1"/>
  <c r="AI15" i="1" s="1"/>
  <c r="AG16" i="1"/>
  <c r="AI16" i="1" s="1"/>
  <c r="AG17" i="1"/>
  <c r="AI17" i="1" s="1"/>
  <c r="AG18" i="1"/>
  <c r="AI18" i="1" s="1"/>
  <c r="AG19" i="1"/>
  <c r="AI19" i="1" s="1"/>
  <c r="AG20" i="1"/>
  <c r="AI20" i="1" s="1"/>
  <c r="AG21" i="1"/>
  <c r="AI21" i="1" s="1"/>
  <c r="AG22" i="1"/>
  <c r="AI22" i="1" s="1"/>
  <c r="AG23" i="1"/>
  <c r="AI23" i="1" s="1"/>
  <c r="AG24" i="1"/>
  <c r="AI24" i="1" s="1"/>
  <c r="AG25" i="1"/>
  <c r="AI25" i="1" s="1"/>
  <c r="AG26" i="1"/>
  <c r="AI26" i="1" s="1"/>
  <c r="AG27" i="1"/>
  <c r="AI27" i="1" s="1"/>
  <c r="AG28" i="1"/>
  <c r="AI28" i="1" s="1"/>
  <c r="AG29" i="1"/>
  <c r="AI29" i="1" s="1"/>
  <c r="AG30" i="1"/>
  <c r="AI30" i="1" s="1"/>
  <c r="AG31" i="1"/>
  <c r="AI31" i="1" s="1"/>
  <c r="AG32" i="1"/>
  <c r="AI32" i="1" s="1"/>
  <c r="AG33" i="1"/>
  <c r="AI33" i="1" s="1"/>
  <c r="AG34" i="1"/>
  <c r="AI34" i="1" s="1"/>
  <c r="AG35" i="1"/>
  <c r="AI35" i="1" s="1"/>
  <c r="AG36" i="1"/>
  <c r="AI36" i="1" s="1"/>
  <c r="AG37" i="1"/>
  <c r="AI37" i="1" s="1"/>
  <c r="AG38" i="1"/>
  <c r="AI38" i="1" s="1"/>
  <c r="AG39" i="1"/>
  <c r="AI39" i="1" s="1"/>
  <c r="AG40" i="1"/>
  <c r="AI40" i="1" s="1"/>
  <c r="AG41" i="1"/>
  <c r="AI41" i="1" s="1"/>
  <c r="AG42" i="1"/>
  <c r="AI42" i="1" s="1"/>
  <c r="AG43" i="1"/>
  <c r="AI43" i="1" s="1"/>
  <c r="AG44" i="1"/>
  <c r="AI44" i="1" s="1"/>
  <c r="AG45" i="1"/>
  <c r="AI45" i="1" s="1"/>
  <c r="AG46" i="1"/>
  <c r="AI46" i="1" s="1"/>
  <c r="AG47" i="1"/>
  <c r="AI47" i="1" s="1"/>
  <c r="AG48" i="1"/>
  <c r="AI48" i="1" s="1"/>
  <c r="AG49" i="1"/>
  <c r="AI49" i="1" s="1"/>
  <c r="AG50" i="1"/>
  <c r="AI50" i="1" s="1"/>
  <c r="AG51" i="1"/>
  <c r="AI51" i="1" s="1"/>
  <c r="AG52" i="1"/>
  <c r="AI52" i="1" s="1"/>
  <c r="AG53" i="1"/>
  <c r="AI53" i="1" s="1"/>
  <c r="AG54" i="1"/>
  <c r="AI54" i="1" s="1"/>
  <c r="AG55" i="1"/>
  <c r="AI55" i="1" s="1"/>
  <c r="AG56" i="1"/>
  <c r="AI56" i="1" s="1"/>
  <c r="AG57" i="1"/>
  <c r="AI57" i="1" s="1"/>
  <c r="AG58" i="1"/>
  <c r="AI58" i="1" s="1"/>
  <c r="AG59" i="1"/>
  <c r="AI59" i="1" s="1"/>
  <c r="AG60" i="1"/>
  <c r="AI60" i="1" s="1"/>
  <c r="AG61" i="1"/>
  <c r="AI61" i="1" s="1"/>
  <c r="AG62" i="1"/>
  <c r="AI62" i="1" s="1"/>
  <c r="AG63" i="1"/>
  <c r="AI63" i="1" s="1"/>
  <c r="AG64" i="1"/>
  <c r="AI64" i="1" s="1"/>
  <c r="AG65" i="1"/>
  <c r="AI65" i="1" s="1"/>
  <c r="AG66" i="1"/>
  <c r="AI66" i="1" s="1"/>
  <c r="AG67" i="1"/>
  <c r="AI67" i="1" s="1"/>
  <c r="AG68" i="1"/>
  <c r="AI68" i="1" s="1"/>
  <c r="AG69" i="1"/>
  <c r="AI69" i="1" s="1"/>
  <c r="AG70" i="1"/>
  <c r="AI70" i="1" s="1"/>
  <c r="AG71" i="1"/>
  <c r="AI71" i="1" s="1"/>
  <c r="AG72" i="1"/>
  <c r="AI72" i="1" s="1"/>
  <c r="AG73" i="1"/>
  <c r="AI73" i="1" s="1"/>
  <c r="AG74" i="1"/>
  <c r="AI74" i="1" s="1"/>
  <c r="AG75" i="1"/>
  <c r="AI75" i="1" s="1"/>
  <c r="AG76" i="1"/>
  <c r="AI76" i="1" s="1"/>
  <c r="AG77" i="1"/>
  <c r="AI77" i="1" s="1"/>
  <c r="AG78" i="1"/>
  <c r="AI78" i="1" s="1"/>
  <c r="AG79" i="1"/>
  <c r="AI79" i="1" s="1"/>
  <c r="AG80" i="1"/>
  <c r="AI80" i="1" s="1"/>
  <c r="AG81" i="1"/>
  <c r="AI81" i="1" s="1"/>
  <c r="AG82" i="1"/>
  <c r="AI82" i="1" s="1"/>
  <c r="AG83" i="1"/>
  <c r="AI83" i="1" s="1"/>
  <c r="AG84" i="1"/>
  <c r="AI84" i="1" s="1"/>
  <c r="AG85" i="1"/>
  <c r="AI85" i="1" s="1"/>
  <c r="AG86" i="1"/>
  <c r="AI86" i="1" s="1"/>
  <c r="AG87" i="1"/>
  <c r="AI87" i="1" s="1"/>
  <c r="AG88" i="1"/>
  <c r="AI88" i="1" s="1"/>
  <c r="AG89" i="1"/>
  <c r="AI89" i="1" s="1"/>
  <c r="AG90" i="1"/>
  <c r="AI90" i="1" s="1"/>
  <c r="AG91" i="1"/>
  <c r="AI91" i="1" s="1"/>
  <c r="AG92" i="1"/>
  <c r="AI92" i="1" s="1"/>
  <c r="AG93" i="1"/>
  <c r="AI93" i="1" s="1"/>
  <c r="AG94" i="1"/>
  <c r="AI94" i="1" s="1"/>
  <c r="AG95" i="1"/>
  <c r="AI95" i="1" s="1"/>
  <c r="AG96" i="1"/>
  <c r="AI96" i="1" s="1"/>
  <c r="AG97" i="1"/>
  <c r="AI97" i="1" s="1"/>
  <c r="AG98" i="1"/>
  <c r="AI98" i="1" s="1"/>
  <c r="AG99" i="1"/>
  <c r="AI99" i="1" s="1"/>
  <c r="AG100" i="1"/>
  <c r="AI100" i="1" s="1"/>
  <c r="AG101" i="1"/>
  <c r="AI101" i="1" s="1"/>
  <c r="AG102" i="1"/>
  <c r="AI102" i="1" s="1"/>
  <c r="AG103" i="1"/>
  <c r="AI103" i="1" s="1"/>
  <c r="AG104" i="1"/>
  <c r="AI104" i="1" s="1"/>
  <c r="AG105" i="1"/>
  <c r="AI105" i="1" s="1"/>
  <c r="AG106" i="1"/>
  <c r="AI106" i="1" s="1"/>
  <c r="AG107" i="1"/>
  <c r="AI107" i="1" s="1"/>
  <c r="AG108" i="1"/>
  <c r="AI108" i="1" s="1"/>
  <c r="AG109" i="1"/>
  <c r="AI109" i="1" s="1"/>
  <c r="AG110" i="1"/>
  <c r="AI110" i="1" s="1"/>
  <c r="AG111" i="1"/>
  <c r="AI111" i="1" s="1"/>
  <c r="AG112" i="1"/>
  <c r="AI112" i="1" s="1"/>
  <c r="AG113" i="1"/>
  <c r="AI113" i="1" s="1"/>
  <c r="AG114" i="1"/>
  <c r="AI114" i="1" s="1"/>
  <c r="AG115" i="1"/>
  <c r="AI115" i="1" s="1"/>
  <c r="AG116" i="1"/>
  <c r="AI116" i="1" s="1"/>
  <c r="AG117" i="1"/>
  <c r="AI117" i="1" s="1"/>
  <c r="AG118" i="1"/>
  <c r="AI118" i="1" s="1"/>
  <c r="AG119" i="1"/>
  <c r="AI119" i="1" s="1"/>
  <c r="AG120" i="1"/>
  <c r="AI120" i="1" s="1"/>
  <c r="AG121" i="1"/>
  <c r="AI121" i="1" s="1"/>
  <c r="AG122" i="1"/>
  <c r="AI122" i="1" s="1"/>
  <c r="AG123" i="1"/>
  <c r="AI123" i="1" s="1"/>
  <c r="AG124" i="1"/>
  <c r="AI124" i="1" s="1"/>
  <c r="AG125" i="1"/>
  <c r="AI125" i="1" s="1"/>
  <c r="AG126" i="1"/>
  <c r="AI126" i="1" s="1"/>
  <c r="AG127" i="1"/>
  <c r="AI127" i="1" s="1"/>
  <c r="AG128" i="1"/>
  <c r="AI128" i="1" s="1"/>
  <c r="AG129" i="1"/>
  <c r="AI129" i="1" s="1"/>
  <c r="AG130" i="1"/>
  <c r="AI130" i="1" s="1"/>
  <c r="AG131" i="1"/>
  <c r="AI131" i="1" s="1"/>
  <c r="AG132" i="1"/>
  <c r="AI132" i="1" s="1"/>
  <c r="AG133" i="1"/>
  <c r="AI133" i="1" s="1"/>
  <c r="AG134" i="1"/>
  <c r="AI134" i="1" s="1"/>
  <c r="AG135" i="1"/>
  <c r="AI135" i="1" s="1"/>
  <c r="AG136" i="1"/>
  <c r="AI136" i="1" s="1"/>
  <c r="AG137" i="1"/>
  <c r="AI137" i="1" s="1"/>
  <c r="AG138" i="1"/>
  <c r="AI138" i="1" s="1"/>
  <c r="AG139" i="1"/>
  <c r="AI139" i="1" s="1"/>
  <c r="AG140" i="1"/>
  <c r="AI140" i="1" s="1"/>
  <c r="AG141" i="1"/>
  <c r="AI141" i="1" s="1"/>
  <c r="AG142" i="1"/>
  <c r="AI142" i="1" s="1"/>
  <c r="AG143" i="1"/>
  <c r="AI143" i="1" s="1"/>
  <c r="AG144" i="1"/>
  <c r="AI144" i="1" s="1"/>
  <c r="AG145" i="1"/>
  <c r="AI145" i="1" s="1"/>
  <c r="AG146" i="1"/>
  <c r="AI146" i="1" s="1"/>
  <c r="AG147" i="1"/>
  <c r="AI147" i="1" s="1"/>
  <c r="AG148" i="1"/>
  <c r="AI148" i="1" s="1"/>
  <c r="AG149" i="1"/>
  <c r="AI149" i="1" s="1"/>
  <c r="AG150" i="1"/>
  <c r="AI150" i="1" s="1"/>
  <c r="AG151" i="1"/>
  <c r="AI151" i="1" s="1"/>
  <c r="AG152" i="1"/>
  <c r="AI152" i="1" s="1"/>
  <c r="AG153" i="1"/>
  <c r="AI153" i="1" s="1"/>
  <c r="AG154" i="1"/>
  <c r="AI154" i="1" s="1"/>
  <c r="AG155" i="1"/>
  <c r="AI155" i="1" s="1"/>
  <c r="AG156" i="1"/>
  <c r="AI156" i="1" s="1"/>
  <c r="AG157" i="1"/>
  <c r="AI157" i="1" s="1"/>
  <c r="AG158" i="1"/>
  <c r="AI158" i="1" s="1"/>
  <c r="A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AA132" i="1"/>
  <c r="H2" i="1"/>
  <c r="L2" i="1" s="1"/>
  <c r="K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2" i="1"/>
  <c r="L156" i="1" l="1"/>
  <c r="L144" i="1"/>
  <c r="L132" i="1"/>
  <c r="L124" i="1"/>
  <c r="L112" i="1"/>
  <c r="L100" i="1"/>
  <c r="L88" i="1"/>
  <c r="L76" i="1"/>
  <c r="L64" i="1"/>
  <c r="L52" i="1"/>
  <c r="L40" i="1"/>
  <c r="L28" i="1"/>
  <c r="L16" i="1"/>
  <c r="L4" i="1"/>
  <c r="L155" i="1"/>
  <c r="L151" i="1"/>
  <c r="L147" i="1"/>
  <c r="L143" i="1"/>
  <c r="L139" i="1"/>
  <c r="L135" i="1"/>
  <c r="L131" i="1"/>
  <c r="L127" i="1"/>
  <c r="L123" i="1"/>
  <c r="L119" i="1"/>
  <c r="L115" i="1"/>
  <c r="L111" i="1"/>
  <c r="L107" i="1"/>
  <c r="L103" i="1"/>
  <c r="L99" i="1"/>
  <c r="L95" i="1"/>
  <c r="L91" i="1"/>
  <c r="L87" i="1"/>
  <c r="L83" i="1"/>
  <c r="L79" i="1"/>
  <c r="L75" i="1"/>
  <c r="L71" i="1"/>
  <c r="L67" i="1"/>
  <c r="L63" i="1"/>
  <c r="L59" i="1"/>
  <c r="L55" i="1"/>
  <c r="L51" i="1"/>
  <c r="L47" i="1"/>
  <c r="L43" i="1"/>
  <c r="L39" i="1"/>
  <c r="L35" i="1"/>
  <c r="L31" i="1"/>
  <c r="L27" i="1"/>
  <c r="L23" i="1"/>
  <c r="L19" i="1"/>
  <c r="L15" i="1"/>
  <c r="L11" i="1"/>
  <c r="L7" i="1"/>
  <c r="L3" i="1"/>
  <c r="L148" i="1"/>
  <c r="L136" i="1"/>
  <c r="L120" i="1"/>
  <c r="L104" i="1"/>
  <c r="L96" i="1"/>
  <c r="L84" i="1"/>
  <c r="L72" i="1"/>
  <c r="L60" i="1"/>
  <c r="L44" i="1"/>
  <c r="L32" i="1"/>
  <c r="L20" i="1"/>
  <c r="L8" i="1"/>
  <c r="L158" i="1"/>
  <c r="L154" i="1"/>
  <c r="L150" i="1"/>
  <c r="L146" i="1"/>
  <c r="L142" i="1"/>
  <c r="L138" i="1"/>
  <c r="L134" i="1"/>
  <c r="L130" i="1"/>
  <c r="L126" i="1"/>
  <c r="L122" i="1"/>
  <c r="L118" i="1"/>
  <c r="L114" i="1"/>
  <c r="L110" i="1"/>
  <c r="L106" i="1"/>
  <c r="L102" i="1"/>
  <c r="L98" i="1"/>
  <c r="L94" i="1"/>
  <c r="L90" i="1"/>
  <c r="L86" i="1"/>
  <c r="L82" i="1"/>
  <c r="L78" i="1"/>
  <c r="L74" i="1"/>
  <c r="L70" i="1"/>
  <c r="L66" i="1"/>
  <c r="L62" i="1"/>
  <c r="L58" i="1"/>
  <c r="L54" i="1"/>
  <c r="L50" i="1"/>
  <c r="L46" i="1"/>
  <c r="L42" i="1"/>
  <c r="L38" i="1"/>
  <c r="L34" i="1"/>
  <c r="L30" i="1"/>
  <c r="L26" i="1"/>
  <c r="L22" i="1"/>
  <c r="L18" i="1"/>
  <c r="L14" i="1"/>
  <c r="L10" i="1"/>
  <c r="L6" i="1"/>
  <c r="L152" i="1"/>
  <c r="L140" i="1"/>
  <c r="L128" i="1"/>
  <c r="L116" i="1"/>
  <c r="L108" i="1"/>
  <c r="L92" i="1"/>
  <c r="L80" i="1"/>
  <c r="L68" i="1"/>
  <c r="L56" i="1"/>
  <c r="L48" i="1"/>
  <c r="L36" i="1"/>
  <c r="L24" i="1"/>
  <c r="L12" i="1"/>
  <c r="L157" i="1"/>
  <c r="L153" i="1"/>
  <c r="L149" i="1"/>
  <c r="L145" i="1"/>
  <c r="L141" i="1"/>
  <c r="L137" i="1"/>
  <c r="L133" i="1"/>
  <c r="L129" i="1"/>
  <c r="L125" i="1"/>
  <c r="L121" i="1"/>
  <c r="L117" i="1"/>
  <c r="L113" i="1"/>
  <c r="L109" i="1"/>
  <c r="L105" i="1"/>
  <c r="L101" i="1"/>
  <c r="L97" i="1"/>
  <c r="L93" i="1"/>
  <c r="L89" i="1"/>
  <c r="L85" i="1"/>
  <c r="L81" i="1"/>
  <c r="L77" i="1"/>
  <c r="L73" i="1"/>
  <c r="L69" i="1"/>
  <c r="L65" i="1"/>
  <c r="L61" i="1"/>
  <c r="L57" i="1"/>
  <c r="L53" i="1"/>
  <c r="L49" i="1"/>
  <c r="L45" i="1"/>
  <c r="L41" i="1"/>
  <c r="L37" i="1"/>
  <c r="L33" i="1"/>
  <c r="L29" i="1"/>
  <c r="L25" i="1"/>
  <c r="L21" i="1"/>
  <c r="L17" i="1"/>
  <c r="L13" i="1"/>
  <c r="L9" i="1"/>
  <c r="L5" i="1"/>
</calcChain>
</file>

<file path=xl/sharedStrings.xml><?xml version="1.0" encoding="utf-8"?>
<sst xmlns="http://schemas.openxmlformats.org/spreadsheetml/2006/main" count="506" uniqueCount="311">
  <si>
    <t>Name</t>
  </si>
  <si>
    <t>Town</t>
  </si>
  <si>
    <t>Level</t>
  </si>
  <si>
    <t>Att</t>
  </si>
  <si>
    <t>Def</t>
  </si>
  <si>
    <t>D-</t>
  </si>
  <si>
    <t>D+</t>
  </si>
  <si>
    <t>HP</t>
  </si>
  <si>
    <t>Spd</t>
  </si>
  <si>
    <t>Grw</t>
  </si>
  <si>
    <t>Cost</t>
  </si>
  <si>
    <t>Special</t>
  </si>
  <si>
    <t>Ranged</t>
  </si>
  <si>
    <t>Flyer</t>
  </si>
  <si>
    <t>no_retaliation</t>
  </si>
  <si>
    <t>Upgraded</t>
  </si>
  <si>
    <t>AI Value</t>
  </si>
  <si>
    <t>Fight Value</t>
  </si>
  <si>
    <t>diff_</t>
  </si>
  <si>
    <t>multi_att</t>
  </si>
  <si>
    <t>poison</t>
  </si>
  <si>
    <t>immunity</t>
  </si>
  <si>
    <t>resistance</t>
  </si>
  <si>
    <t>caster</t>
  </si>
  <si>
    <t>dmg</t>
  </si>
  <si>
    <t>attdef</t>
  </si>
  <si>
    <t>Grw_total</t>
  </si>
  <si>
    <t>total_avalue</t>
  </si>
  <si>
    <t>total_fvalue</t>
  </si>
  <si>
    <t>total_avalue_cost</t>
  </si>
  <si>
    <t>total_fvalue_cost</t>
  </si>
  <si>
    <t>range_fly</t>
  </si>
  <si>
    <t>Pikeman</t>
  </si>
  <si>
    <t>Castle</t>
  </si>
  <si>
    <t>Immune to jousting</t>
  </si>
  <si>
    <t>Halberdier</t>
  </si>
  <si>
    <t>Archer</t>
  </si>
  <si>
    <t>Ranged (12 shots)</t>
  </si>
  <si>
    <t>Marksman</t>
  </si>
  <si>
    <t>Ranged (24 shots), Double attack</t>
  </si>
  <si>
    <t>Griffin</t>
  </si>
  <si>
    <t>Flying, Two retaliations</t>
  </si>
  <si>
    <t>Royal Griffin</t>
  </si>
  <si>
    <t>Flying, Unlimited retaliations</t>
  </si>
  <si>
    <t>Swordsman</t>
  </si>
  <si>
    <t>No</t>
  </si>
  <si>
    <t>Crusader</t>
  </si>
  <si>
    <t>Double attack</t>
  </si>
  <si>
    <t>Monk</t>
  </si>
  <si>
    <t>Zealot</t>
  </si>
  <si>
    <t>Ranged (24 shots), No melee penalty</t>
  </si>
  <si>
    <t>Cavalier</t>
  </si>
  <si>
    <t>Jousting</t>
  </si>
  <si>
    <t>Champion</t>
  </si>
  <si>
    <t>Angel</t>
  </si>
  <si>
    <t>Flying, Hates Devils and Arch Devils, Morale +1 to the whole army</t>
  </si>
  <si>
    <t>Archangel</t>
  </si>
  <si>
    <t>Flying, Hates Devils and Arch Devils, Resurrection, Morale +1 to the whole army</t>
  </si>
  <si>
    <t>Centaur</t>
  </si>
  <si>
    <t>Rampart</t>
  </si>
  <si>
    <t>Centaur Captain</t>
  </si>
  <si>
    <t>Dwarf</t>
  </si>
  <si>
    <t>Resistance +20%</t>
  </si>
  <si>
    <t>Battle Dwarf</t>
  </si>
  <si>
    <t>Resistance +40%</t>
  </si>
  <si>
    <t>Wood Elf</t>
  </si>
  <si>
    <t>Ranged (24 shots)</t>
  </si>
  <si>
    <t>Grand Elf</t>
  </si>
  <si>
    <t>Pegasus</t>
  </si>
  <si>
    <t>Flying, Magic damper</t>
  </si>
  <si>
    <t>Silver Pegasus</t>
  </si>
  <si>
    <t>Dendroid Guard</t>
  </si>
  <si>
    <t>Binding</t>
  </si>
  <si>
    <t>Dendroid Soldier</t>
  </si>
  <si>
    <t>Unicorn</t>
  </si>
  <si>
    <t>Blind, Aura of Resistance +20%</t>
  </si>
  <si>
    <t>War Unicorn</t>
  </si>
  <si>
    <t>Green Dragon</t>
  </si>
  <si>
    <t>Dragon, Flying, Breath attack, 1-3 lvl spells immunity</t>
  </si>
  <si>
    <t>Gold Dragon</t>
  </si>
  <si>
    <t>Dragon, Flying, Breath attack, 1-4 lvl spells immunity</t>
  </si>
  <si>
    <t>Gremlin</t>
  </si>
  <si>
    <t>Tower</t>
  </si>
  <si>
    <t>Master Gremlin</t>
  </si>
  <si>
    <t>Ranged (8 shots)</t>
  </si>
  <si>
    <t>Stone Gargoyle</t>
  </si>
  <si>
    <t>Unliving, Flying</t>
  </si>
  <si>
    <t>Obsidian Gargoyle</t>
  </si>
  <si>
    <t>Stone Golem</t>
  </si>
  <si>
    <t>Unliving, Spell Damage Resistance +50%</t>
  </si>
  <si>
    <t>Iron Golem</t>
  </si>
  <si>
    <t>Unliving, Spell Damage Resistance +75%</t>
  </si>
  <si>
    <t>Mage</t>
  </si>
  <si>
    <t>Ranged (24 shots), No melee penalty, No obstacle penalty, Spells cost -2 sp</t>
  </si>
  <si>
    <t>Arch Mage</t>
  </si>
  <si>
    <t>Genie</t>
  </si>
  <si>
    <t>Flying, Hates Efreet and Efreet Sultans</t>
  </si>
  <si>
    <t>Master Genie</t>
  </si>
  <si>
    <t>Flying, Spellcaster, Hates Efreet and Efreet Sultans</t>
  </si>
  <si>
    <t>Naga</t>
  </si>
  <si>
    <t>No enemy retaliation</t>
  </si>
  <si>
    <t>Naga Queen</t>
  </si>
  <si>
    <t>Giant</t>
  </si>
  <si>
    <t>Immunity to Mind spells</t>
  </si>
  <si>
    <t>Titan</t>
  </si>
  <si>
    <t>Ranged (24 shots), No melee penalty, Immunity to Mind spells, Hates Black Dragons</t>
  </si>
  <si>
    <t>Imp</t>
  </si>
  <si>
    <t>Inferno</t>
  </si>
  <si>
    <t>Familiar</t>
  </si>
  <si>
    <t>Magic channel</t>
  </si>
  <si>
    <t>Gog</t>
  </si>
  <si>
    <t>Magog</t>
  </si>
  <si>
    <t>Ranged (24 shots), Fireball attack</t>
  </si>
  <si>
    <t>Hell Hound</t>
  </si>
  <si>
    <t>Cerberus</t>
  </si>
  <si>
    <t>No enemy retaliation, 3-headed attack</t>
  </si>
  <si>
    <t>Demon</t>
  </si>
  <si>
    <t>Horned Demon</t>
  </si>
  <si>
    <t>Pit Fiend</t>
  </si>
  <si>
    <t>Pit Lord</t>
  </si>
  <si>
    <t>Summons demons</t>
  </si>
  <si>
    <t>Efreeti</t>
  </si>
  <si>
    <t>Flying, Fire immunity, Hates Genies and Master Genies</t>
  </si>
  <si>
    <t>Efreet Sultan</t>
  </si>
  <si>
    <t>Flying, Fire shield, Fire immunity, Hates Genies and Master Genies</t>
  </si>
  <si>
    <t>Devil</t>
  </si>
  <si>
    <t>Flying, No enemy retaliation, Luck -1, Hates Angels and Archangels</t>
  </si>
  <si>
    <t>Arch Devil</t>
  </si>
  <si>
    <t>Skeleton</t>
  </si>
  <si>
    <t>Necropolis</t>
  </si>
  <si>
    <t>Undead</t>
  </si>
  <si>
    <t>Skeleton Warrior</t>
  </si>
  <si>
    <t>Walking Dead</t>
  </si>
  <si>
    <t>Zombie</t>
  </si>
  <si>
    <t>Undead, Disease</t>
  </si>
  <si>
    <t>Wight</t>
  </si>
  <si>
    <t>Undead, Flying, Regeneration</t>
  </si>
  <si>
    <t>Wraith</t>
  </si>
  <si>
    <t>Undead, Flying, Regeneration, Mana drain</t>
  </si>
  <si>
    <t>Vampire</t>
  </si>
  <si>
    <t>Undead, Flying, No enemy retaliation</t>
  </si>
  <si>
    <t>Vampire Lord</t>
  </si>
  <si>
    <t>Undead, Flying, No enemy retaliation, Life drain</t>
  </si>
  <si>
    <t>Lich</t>
  </si>
  <si>
    <t>Ranged (12 shots), Undead, Death cloud</t>
  </si>
  <si>
    <t>Power Lich</t>
  </si>
  <si>
    <t>Ranged (24 shots), Undead, Death cloud</t>
  </si>
  <si>
    <t>Black Knight</t>
  </si>
  <si>
    <t>Undead, Curse</t>
  </si>
  <si>
    <t>Dread Knight</t>
  </si>
  <si>
    <t>Undead, Curse, Death blow</t>
  </si>
  <si>
    <t>Bone Dragon</t>
  </si>
  <si>
    <t>Dragon, Undead, Flying, Morale -1</t>
  </si>
  <si>
    <t>Ghost Dragon</t>
  </si>
  <si>
    <t>Dragon, Undead, Flying, Morale -1, Aging</t>
  </si>
  <si>
    <t>Troglodyte</t>
  </si>
  <si>
    <t>Dungeon</t>
  </si>
  <si>
    <t>Immune to Blinding</t>
  </si>
  <si>
    <t>Infernal Troglodyte</t>
  </si>
  <si>
    <t>Harpy</t>
  </si>
  <si>
    <t>Flying, Strike and return</t>
  </si>
  <si>
    <t>Harpy Hag</t>
  </si>
  <si>
    <t>Flying, Strike and return, No enemy retaliation</t>
  </si>
  <si>
    <t>Beholder</t>
  </si>
  <si>
    <t>Ranged (12 shots), No melee penalty</t>
  </si>
  <si>
    <t>Evil Eye</t>
  </si>
  <si>
    <t>Medusa</t>
  </si>
  <si>
    <t>Ranged (4 shots), No melee penalty, Petrify</t>
  </si>
  <si>
    <t>Medusa Queen</t>
  </si>
  <si>
    <t>Ranged (8 shots), No melee penalty, Petrify</t>
  </si>
  <si>
    <t>Minotaur</t>
  </si>
  <si>
    <t>Positive Morale</t>
  </si>
  <si>
    <t>Minotaur King</t>
  </si>
  <si>
    <t>Manticore</t>
  </si>
  <si>
    <t>Flying</t>
  </si>
  <si>
    <t>Scorpicore</t>
  </si>
  <si>
    <t>Flying, Paralyze</t>
  </si>
  <si>
    <t>Red Dragon</t>
  </si>
  <si>
    <t>Black Dragon</t>
  </si>
  <si>
    <t>Dragon, Flying, Breath attack, Magic immunity, Hates Titans</t>
  </si>
  <si>
    <t>Goblin</t>
  </si>
  <si>
    <t>Stronghold</t>
  </si>
  <si>
    <t>Hobgoblin</t>
  </si>
  <si>
    <t>Wolf Rider</t>
  </si>
  <si>
    <t>Wolf Raider</t>
  </si>
  <si>
    <t>Orc</t>
  </si>
  <si>
    <t>Orc Chieftain</t>
  </si>
  <si>
    <t>Ogre</t>
  </si>
  <si>
    <t>Ogre Mage</t>
  </si>
  <si>
    <t>Cast Bloodlust x3</t>
  </si>
  <si>
    <t>Roc</t>
  </si>
  <si>
    <t>Thunderbird</t>
  </si>
  <si>
    <t>Flying, Lightning strike</t>
  </si>
  <si>
    <t>Cyclops</t>
  </si>
  <si>
    <t>Ranged (16 shots), Can attack siege walls</t>
  </si>
  <si>
    <t>Cyclops King</t>
  </si>
  <si>
    <t>Ranged (24 shots), Can attack siege walls</t>
  </si>
  <si>
    <t>Behemoth</t>
  </si>
  <si>
    <t>Defense -40% to enemy target</t>
  </si>
  <si>
    <t>Ancient Behemoth</t>
  </si>
  <si>
    <t>Defense -80% to enemy target</t>
  </si>
  <si>
    <t>Gnoll</t>
  </si>
  <si>
    <t>Fortress</t>
  </si>
  <si>
    <t>Gnoll Marauder</t>
  </si>
  <si>
    <t>Lizardman</t>
  </si>
  <si>
    <t>Lizard Warrior</t>
  </si>
  <si>
    <t>Serpent Fly</t>
  </si>
  <si>
    <t>Flying, Dispel</t>
  </si>
  <si>
    <t>Dragon Fly</t>
  </si>
  <si>
    <t>Flying, Dispel, Weakness</t>
  </si>
  <si>
    <t>Basilisk</t>
  </si>
  <si>
    <t>Petrify</t>
  </si>
  <si>
    <t>Greater Basilisk</t>
  </si>
  <si>
    <t>Gorgon</t>
  </si>
  <si>
    <t>Mighty Gorgon</t>
  </si>
  <si>
    <t>Death stare 10% chance/unit</t>
  </si>
  <si>
    <t>Wyvern</t>
  </si>
  <si>
    <t>Wyvern Monarch</t>
  </si>
  <si>
    <t>Flying, Poison</t>
  </si>
  <si>
    <t>Hydra</t>
  </si>
  <si>
    <t>No enemy retaliation, Attack all adjacent enemies</t>
  </si>
  <si>
    <t>Chaos Hydra</t>
  </si>
  <si>
    <t>Pixie</t>
  </si>
  <si>
    <t>Conflux</t>
  </si>
  <si>
    <t>Sprite</t>
  </si>
  <si>
    <t>Flying, No enemy retaliation</t>
  </si>
  <si>
    <t>Air Elemental</t>
  </si>
  <si>
    <t>Elemental, Lightning and Armageddon vulnerability, Immune to Meteor Shower**, +100% to basic damage to Earth and Magma Elementals**</t>
  </si>
  <si>
    <t>Storm Elemental</t>
  </si>
  <si>
    <t>Ranged (24 shots), Elemental, Lightning and Armageddon vulnerability, Immune to Meteor Shower**, +100% to basic damage to Earth and Magma Elementals**, Casts Protection from Air**</t>
  </si>
  <si>
    <t>Water Elemental</t>
  </si>
  <si>
    <t>Elemental, Ice immunity, Vulnerable to Fireball, Inferno and Armageddon, +100% to basic damage to Fire and Energy Elementals**</t>
  </si>
  <si>
    <t>Ice Elemental</t>
  </si>
  <si>
    <t>Ranged (24 shots), Elemental, Ice immunity, Vulnerable to Fireball, Inferno and Armageddon, +100% to basic damage to Fire and Energy Elementals**, Casts Protection from Water**</t>
  </si>
  <si>
    <t>Fire Elemental</t>
  </si>
  <si>
    <t>Elemental, Ice vulnerability, Fire immunity, +100% to basic damage to Water and Ice Elementals**</t>
  </si>
  <si>
    <t>Energy Elemental</t>
  </si>
  <si>
    <t>Elemental, Flying, Ice vulnerability, Fire immunity, +100% to basic damage to Water and Ice Elementals**, Casts Protection from Fire</t>
  </si>
  <si>
    <t>Earth Elemental</t>
  </si>
  <si>
    <t>Elemental, Meteor Shower vulnerability, Lightning and Armageddon immunity**, +100% to basic damage to Air and Storm Elementals**</t>
  </si>
  <si>
    <t>Magma Elemental</t>
  </si>
  <si>
    <t>Elemental, Meteor Shower vulnerability**, Lightning and Armageddon immunity**, +100% to basic damage to Air and Storm Elementals**, Casts Protection from Earth</t>
  </si>
  <si>
    <t>Psychic Elemental</t>
  </si>
  <si>
    <t>Elemental, Attacks all adjacent enemies without retaliation, -50% damage to creatures with Mind Immunity</t>
  </si>
  <si>
    <t>Magic Elemental</t>
  </si>
  <si>
    <t>Elemental, Attacks all adjacent enemies without retaliation, Magic immunity, -50% damage to creatures with Magic Immunity</t>
  </si>
  <si>
    <t>Firebird</t>
  </si>
  <si>
    <t>Flying, Breath attack, Fire immunity</t>
  </si>
  <si>
    <t>Phoenix</t>
  </si>
  <si>
    <t>Flying, Breath attack, Fire immunity, Rebirth</t>
  </si>
  <si>
    <t>Nymph</t>
  </si>
  <si>
    <t>Cove</t>
  </si>
  <si>
    <t>Teleporting, Immune to ice</t>
  </si>
  <si>
    <t>Oceanid</t>
  </si>
  <si>
    <t>Crew Mate</t>
  </si>
  <si>
    <t>Seaman</t>
  </si>
  <si>
    <t>Corsair</t>
  </si>
  <si>
    <t>Ranged (4 shots), No melee penalty, No enemy retaliation</t>
  </si>
  <si>
    <t>Sea Dog</t>
  </si>
  <si>
    <t>Ranged (12 shots), No melee penalty, No enemy retaliation, Accurate Shot</t>
  </si>
  <si>
    <t>Stormbird</t>
  </si>
  <si>
    <t>Ayssid</t>
  </si>
  <si>
    <t>Flying, Ferocity</t>
  </si>
  <si>
    <t>Sea Witch</t>
  </si>
  <si>
    <t>Ranged (12 shots), Casts Weakness / Disrupting Ray</t>
  </si>
  <si>
    <t>Sorceress</t>
  </si>
  <si>
    <t>Nix</t>
  </si>
  <si>
    <t>Ignores 30% of enemy attack value</t>
  </si>
  <si>
    <t>Nix Warrior</t>
  </si>
  <si>
    <t>Ignores 60% of enemy attack value</t>
  </si>
  <si>
    <t>Sea Serpent</t>
  </si>
  <si>
    <t>Poisonous</t>
  </si>
  <si>
    <t>Haspid</t>
  </si>
  <si>
    <t>Poisonous, Revenge</t>
  </si>
  <si>
    <t>Nr</t>
  </si>
  <si>
    <t>Ranged (24 shots), Positive Luck </t>
  </si>
  <si>
    <t>Ranged (24 shots), Positive Luck, Ranged attack ignores 20% of enemy's defense skill </t>
  </si>
  <si>
    <t>Breath attack, Repairing (10 HP per Mechanic) </t>
  </si>
  <si>
    <t>Breath attack, Repairing (20 HP per Engineer) </t>
  </si>
  <si>
    <t>Mechanical, Detonation </t>
  </si>
  <si>
    <t>Mechanical, Detonation, No enemy retaliation </t>
  </si>
  <si>
    <t>Burrowing, Immune to Blind and Stone Gaze </t>
  </si>
  <si>
    <t>Burrowing, Immune to Blind and Stone Gaze, Devours corpses for additional strikes </t>
  </si>
  <si>
    <t>Ranged (16 shots), Preemptive Shot (once per round) </t>
  </si>
  <si>
    <t>Ranged (24 shots), Preemptive Shot (unlimited) </t>
  </si>
  <si>
    <t>Flying, Skips a turn to get temporary invulnerability </t>
  </si>
  <si>
    <t>Flying, Gets temporary invulnerability without skipping a turn </t>
  </si>
  <si>
    <t>Mechanical, Heat Stroke </t>
  </si>
  <si>
    <t>Halfling Grenadier</t>
  </si>
  <si>
    <t>Halfling</t>
  </si>
  <si>
    <t>Engineer</t>
  </si>
  <si>
    <t>Armadillo</t>
  </si>
  <si>
    <t>Mechanic</t>
  </si>
  <si>
    <t>Bellwether Armadillo</t>
  </si>
  <si>
    <t>Automaton</t>
  </si>
  <si>
    <t>Sentinel Automaton</t>
  </si>
  <si>
    <t>Sandworm</t>
  </si>
  <si>
    <t>Olgoi-Khorkhoi</t>
  </si>
  <si>
    <t>Gunslinger</t>
  </si>
  <si>
    <t>Bounty Hunter</t>
  </si>
  <si>
    <t>Couatl</t>
  </si>
  <si>
    <t>Crimson Couatl</t>
  </si>
  <si>
    <t>Dreadnought</t>
  </si>
  <si>
    <t>Juggernaut</t>
  </si>
  <si>
    <t>Factory</t>
  </si>
  <si>
    <t>Pirate</t>
  </si>
  <si>
    <t>Shoots. No melee penalty</t>
  </si>
  <si>
    <t>Res</t>
  </si>
  <si>
    <t>Gw_plus</t>
  </si>
  <si>
    <t>AI_plus</t>
  </si>
  <si>
    <t>damage_plus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</si>
</sst>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1" applyNumberFormat="1" applyFont="1"/>
    <xf numFmtId="2" fontId="16" fillId="0" borderId="0" xfId="0" applyNumberFormat="1" applyFont="1" applyAlignment="1">
      <alignment horizontal="left" vertical="center"/>
    </xf>
    <xf numFmtId="0" fontId="6" fillId="2" borderId="0" xfId="7" applyAlignment="1">
      <alignment horizontal="left" vertical="center"/>
    </xf>
    <xf numFmtId="0" fontId="7" fillId="3" borderId="0" xfId="8" applyAlignment="1">
      <alignment horizontal="left" vertical="center"/>
    </xf>
    <xf numFmtId="0" fontId="8" fillId="4" borderId="0" xfId="9" applyAlignment="1">
      <alignment horizontal="left" vertical="center"/>
    </xf>
    <xf numFmtId="0" fontId="13" fillId="7" borderId="7" xfId="14" applyAlignment="1">
      <alignment horizontal="left" vertical="center"/>
    </xf>
    <xf numFmtId="0" fontId="9" fillId="5" borderId="4" xfId="10" applyAlignment="1">
      <alignment horizontal="left" vertical="center"/>
    </xf>
    <xf numFmtId="0" fontId="16" fillId="8" borderId="8" xfId="16" applyFont="1" applyAlignment="1">
      <alignment horizontal="left" vertical="center"/>
    </xf>
    <xf numFmtId="2" fontId="13" fillId="7" borderId="7" xfId="14" applyNumberFormat="1" applyAlignment="1">
      <alignment horizontal="left" vertical="center"/>
    </xf>
    <xf numFmtId="2" fontId="0" fillId="0" borderId="0" xfId="0" applyNumberForma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8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4.4" x14ac:dyDescent="0.3"/>
  <cols>
    <col min="1" max="1" width="8.33203125" style="3" customWidth="1"/>
    <col min="2" max="2" width="20.33203125" customWidth="1"/>
    <col min="3" max="3" width="8.88671875" style="3"/>
    <col min="4" max="4" width="7.44140625" style="3" customWidth="1"/>
    <col min="5" max="5" width="8.88671875" style="3" customWidth="1"/>
    <col min="6" max="6" width="6" style="3" customWidth="1"/>
    <col min="7" max="7" width="5.5546875" style="3" customWidth="1"/>
    <col min="8" max="8" width="9.88671875" style="3" customWidth="1"/>
    <col min="9" max="9" width="6.21875" style="3" customWidth="1"/>
    <col min="10" max="10" width="5.6640625" style="3" customWidth="1"/>
    <col min="11" max="12" width="11.21875" style="3" customWidth="1"/>
    <col min="13" max="13" width="6.6640625" style="3" customWidth="1"/>
    <col min="14" max="14" width="6.5546875" style="3" customWidth="1"/>
    <col min="15" max="15" width="6.88671875" style="3" customWidth="1"/>
    <col min="16" max="17" width="9.33203125" style="3" customWidth="1"/>
    <col min="18" max="18" width="11.77734375" style="1" customWidth="1"/>
    <col min="19" max="19" width="11.77734375" style="16" customWidth="1"/>
    <col min="20" max="20" width="12.44140625" style="1" customWidth="1"/>
    <col min="21" max="21" width="7.33203125" style="3" customWidth="1"/>
    <col min="22" max="22" width="7.21875" style="3" customWidth="1"/>
    <col min="23" max="23" width="23.77734375" style="5" customWidth="1"/>
    <col min="24" max="25" width="8.88671875" style="3" customWidth="1"/>
    <col min="26" max="26" width="12.21875" style="1" customWidth="1"/>
    <col min="27" max="27" width="8.88671875" customWidth="1"/>
    <col min="28" max="28" width="10.44140625" style="3" customWidth="1"/>
    <col min="29" max="29" width="8.88671875" style="3" customWidth="1"/>
    <col min="30" max="30" width="8.77734375" style="3" customWidth="1"/>
    <col min="31" max="31" width="9.21875" style="3" customWidth="1"/>
    <col min="32" max="32" width="6.33203125" style="3" customWidth="1"/>
    <col min="33" max="33" width="13" style="3" customWidth="1"/>
    <col min="34" max="34" width="13.109375" style="3" customWidth="1"/>
    <col min="35" max="35" width="18.109375" style="6" customWidth="1"/>
    <col min="36" max="36" width="16.5546875" style="3" customWidth="1"/>
    <col min="37" max="37" width="9.88671875" style="3" customWidth="1"/>
  </cols>
  <sheetData>
    <row r="1" spans="1:37" s="4" customFormat="1" ht="15.6" thickTop="1" thickBot="1" x14ac:dyDescent="0.35">
      <c r="A1" s="4" t="s">
        <v>274</v>
      </c>
      <c r="B1" s="4" t="s">
        <v>0</v>
      </c>
      <c r="C1" s="4" t="s">
        <v>1</v>
      </c>
      <c r="D1" s="11" t="s">
        <v>2</v>
      </c>
      <c r="E1" s="11" t="s">
        <v>15</v>
      </c>
      <c r="F1" s="9" t="s">
        <v>3</v>
      </c>
      <c r="G1" s="9" t="s">
        <v>4</v>
      </c>
      <c r="H1" s="9" t="s">
        <v>25</v>
      </c>
      <c r="I1" s="10" t="s">
        <v>5</v>
      </c>
      <c r="J1" s="10" t="s">
        <v>6</v>
      </c>
      <c r="K1" s="10" t="s">
        <v>24</v>
      </c>
      <c r="L1" t="s">
        <v>310</v>
      </c>
      <c r="M1" s="4" t="s">
        <v>7</v>
      </c>
      <c r="N1" s="4" t="s">
        <v>8</v>
      </c>
      <c r="O1" s="14" t="s">
        <v>9</v>
      </c>
      <c r="P1" s="14" t="s">
        <v>26</v>
      </c>
      <c r="Q1" s="14" t="s">
        <v>308</v>
      </c>
      <c r="R1" s="12" t="s">
        <v>16</v>
      </c>
      <c r="S1" s="15" t="s">
        <v>309</v>
      </c>
      <c r="T1" s="12" t="s">
        <v>17</v>
      </c>
      <c r="U1" s="13" t="s">
        <v>10</v>
      </c>
      <c r="V1" s="13" t="s">
        <v>307</v>
      </c>
      <c r="W1" s="2" t="s">
        <v>11</v>
      </c>
      <c r="X1" s="4" t="s">
        <v>12</v>
      </c>
      <c r="Y1" s="4" t="s">
        <v>13</v>
      </c>
      <c r="Z1" s="4" t="s">
        <v>14</v>
      </c>
      <c r="AA1" s="4" t="s">
        <v>18</v>
      </c>
      <c r="AB1" s="4" t="s">
        <v>19</v>
      </c>
      <c r="AC1" s="4" t="s">
        <v>20</v>
      </c>
      <c r="AD1" s="4" t="s">
        <v>21</v>
      </c>
      <c r="AE1" s="4" t="s">
        <v>22</v>
      </c>
      <c r="AF1" s="4" t="s">
        <v>23</v>
      </c>
      <c r="AG1" s="4" t="s">
        <v>27</v>
      </c>
      <c r="AH1" s="4" t="s">
        <v>28</v>
      </c>
      <c r="AI1" s="8" t="s">
        <v>29</v>
      </c>
      <c r="AJ1" s="4" t="s">
        <v>30</v>
      </c>
      <c r="AK1" s="4" t="s">
        <v>31</v>
      </c>
    </row>
    <row r="2" spans="1:37" ht="15" thickTop="1" x14ac:dyDescent="0.3">
      <c r="A2" s="3">
        <v>1</v>
      </c>
      <c r="B2" t="s">
        <v>32</v>
      </c>
      <c r="C2" s="3" t="s">
        <v>33</v>
      </c>
      <c r="D2" s="3">
        <v>1</v>
      </c>
      <c r="E2" s="3">
        <v>0</v>
      </c>
      <c r="F2" s="3">
        <v>4</v>
      </c>
      <c r="G2" s="3">
        <v>5</v>
      </c>
      <c r="H2" s="6">
        <f>(F2+G2)/2</f>
        <v>4.5</v>
      </c>
      <c r="I2" s="3">
        <v>1</v>
      </c>
      <c r="J2" s="3">
        <v>3</v>
      </c>
      <c r="K2" s="6">
        <f>(J2+I2)/2</f>
        <v>2</v>
      </c>
      <c r="L2" s="6">
        <f>H2*K2</f>
        <v>9</v>
      </c>
      <c r="M2" s="3">
        <v>10</v>
      </c>
      <c r="N2" s="3">
        <v>4</v>
      </c>
      <c r="O2" s="3">
        <v>14</v>
      </c>
      <c r="P2" s="3">
        <v>28</v>
      </c>
      <c r="Q2" s="6">
        <f>(P2-O2)/O2</f>
        <v>1</v>
      </c>
      <c r="R2" s="1">
        <v>80</v>
      </c>
      <c r="S2" s="16">
        <v>0</v>
      </c>
      <c r="T2" s="1">
        <v>100</v>
      </c>
      <c r="U2" s="3">
        <v>60</v>
      </c>
      <c r="V2" s="3">
        <v>0</v>
      </c>
      <c r="W2" s="5" t="s">
        <v>34</v>
      </c>
      <c r="X2" s="3">
        <v>0</v>
      </c>
      <c r="Y2" s="3">
        <v>0</v>
      </c>
      <c r="Z2" s="1">
        <v>0</v>
      </c>
      <c r="AA2" s="7">
        <f>((R2-T2)/T2)*100</f>
        <v>-20</v>
      </c>
      <c r="AB2" s="3">
        <v>0</v>
      </c>
      <c r="AC2" s="3">
        <v>0</v>
      </c>
      <c r="AD2" s="3">
        <v>0.03</v>
      </c>
      <c r="AE2" s="3">
        <v>0</v>
      </c>
      <c r="AF2" s="3">
        <v>0</v>
      </c>
      <c r="AG2" s="3">
        <f>P2*R2</f>
        <v>2240</v>
      </c>
      <c r="AH2" s="3">
        <f>P2*T2</f>
        <v>2800</v>
      </c>
      <c r="AI2" s="6">
        <f>AG2/U2</f>
        <v>37.333333333333336</v>
      </c>
      <c r="AJ2" s="6">
        <f>AH2/U2</f>
        <v>46.666666666666664</v>
      </c>
      <c r="AK2" s="3">
        <v>0</v>
      </c>
    </row>
    <row r="3" spans="1:37" x14ac:dyDescent="0.3">
      <c r="A3" s="3">
        <v>2</v>
      </c>
      <c r="B3" t="s">
        <v>35</v>
      </c>
      <c r="C3" s="3" t="s">
        <v>33</v>
      </c>
      <c r="D3" s="3">
        <v>1.5</v>
      </c>
      <c r="E3" s="3">
        <v>1</v>
      </c>
      <c r="F3" s="3">
        <v>6</v>
      </c>
      <c r="G3" s="3">
        <v>5</v>
      </c>
      <c r="H3" s="6">
        <f>(F3+G3)/2</f>
        <v>5.5</v>
      </c>
      <c r="I3" s="3">
        <v>2</v>
      </c>
      <c r="J3" s="3">
        <v>3</v>
      </c>
      <c r="K3" s="6">
        <f>(J3+I3)/2</f>
        <v>2.5</v>
      </c>
      <c r="L3" s="6">
        <f t="shared" ref="L3:L66" si="0">H3*K3</f>
        <v>13.75</v>
      </c>
      <c r="M3" s="3">
        <v>10</v>
      </c>
      <c r="N3" s="3">
        <v>5</v>
      </c>
      <c r="O3" s="3">
        <v>14</v>
      </c>
      <c r="P3" s="3">
        <v>28</v>
      </c>
      <c r="Q3" s="6">
        <f>(P3-O3)/O3</f>
        <v>1</v>
      </c>
      <c r="R3" s="1">
        <v>115</v>
      </c>
      <c r="S3" s="16">
        <v>0.4375</v>
      </c>
      <c r="T3" s="1">
        <v>115</v>
      </c>
      <c r="U3" s="3">
        <v>75</v>
      </c>
      <c r="V3" s="3">
        <v>0</v>
      </c>
      <c r="W3" s="5" t="s">
        <v>34</v>
      </c>
      <c r="X3" s="3">
        <v>0</v>
      </c>
      <c r="Y3" s="3">
        <v>0</v>
      </c>
      <c r="Z3" s="1">
        <v>0</v>
      </c>
      <c r="AA3" s="7">
        <f>((R3-T3)/T3)*100</f>
        <v>0</v>
      </c>
      <c r="AB3" s="3">
        <v>0</v>
      </c>
      <c r="AC3" s="3">
        <v>0</v>
      </c>
      <c r="AD3" s="3">
        <v>0.03</v>
      </c>
      <c r="AE3" s="3">
        <v>0</v>
      </c>
      <c r="AF3" s="3">
        <v>0</v>
      </c>
      <c r="AG3" s="3">
        <f>P3*R3</f>
        <v>3220</v>
      </c>
      <c r="AH3" s="3">
        <f>P3*T3</f>
        <v>3220</v>
      </c>
      <c r="AI3" s="6">
        <f>AG3/U3</f>
        <v>42.93333333333333</v>
      </c>
      <c r="AJ3" s="6">
        <f>AH3/U3</f>
        <v>42.93333333333333</v>
      </c>
      <c r="AK3" s="3">
        <v>0</v>
      </c>
    </row>
    <row r="4" spans="1:37" x14ac:dyDescent="0.3">
      <c r="A4" s="3">
        <v>3</v>
      </c>
      <c r="B4" t="s">
        <v>36</v>
      </c>
      <c r="C4" s="3" t="s">
        <v>33</v>
      </c>
      <c r="D4" s="3">
        <v>2</v>
      </c>
      <c r="E4" s="3">
        <v>0</v>
      </c>
      <c r="F4" s="3">
        <v>6</v>
      </c>
      <c r="G4" s="3">
        <v>3</v>
      </c>
      <c r="H4" s="6">
        <f>(F4+G4)/2</f>
        <v>4.5</v>
      </c>
      <c r="I4" s="3">
        <v>2</v>
      </c>
      <c r="J4" s="3">
        <v>3</v>
      </c>
      <c r="K4" s="6">
        <f>(J4+I4)/2</f>
        <v>2.5</v>
      </c>
      <c r="L4" s="6">
        <f t="shared" si="0"/>
        <v>11.25</v>
      </c>
      <c r="M4" s="3">
        <v>10</v>
      </c>
      <c r="N4" s="3">
        <v>4</v>
      </c>
      <c r="O4" s="3">
        <v>9</v>
      </c>
      <c r="P4" s="3">
        <v>18</v>
      </c>
      <c r="Q4" s="6">
        <f>(P4-O4)/O4</f>
        <v>1</v>
      </c>
      <c r="R4" s="1">
        <v>126</v>
      </c>
      <c r="S4" s="16">
        <v>0</v>
      </c>
      <c r="T4" s="1">
        <v>115</v>
      </c>
      <c r="U4" s="3">
        <v>100</v>
      </c>
      <c r="V4" s="3">
        <v>0</v>
      </c>
      <c r="W4" s="5" t="s">
        <v>37</v>
      </c>
      <c r="X4" s="3">
        <v>1</v>
      </c>
      <c r="Y4" s="3">
        <v>0</v>
      </c>
      <c r="Z4" s="1">
        <v>0</v>
      </c>
      <c r="AA4" s="7">
        <f>((R4-T4)/T4)*100</f>
        <v>9.5652173913043477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f>P4*R4</f>
        <v>2268</v>
      </c>
      <c r="AH4" s="3">
        <f>P4*T4</f>
        <v>2070</v>
      </c>
      <c r="AI4" s="6">
        <f>AG4/U4</f>
        <v>22.68</v>
      </c>
      <c r="AJ4" s="6">
        <f>AH4/U4</f>
        <v>20.7</v>
      </c>
      <c r="AK4" s="3">
        <v>1</v>
      </c>
    </row>
    <row r="5" spans="1:37" x14ac:dyDescent="0.3">
      <c r="A5" s="3">
        <v>4</v>
      </c>
      <c r="B5" t="s">
        <v>38</v>
      </c>
      <c r="C5" s="3" t="s">
        <v>33</v>
      </c>
      <c r="D5" s="3">
        <v>2.5</v>
      </c>
      <c r="E5" s="3">
        <v>1</v>
      </c>
      <c r="F5" s="3">
        <v>6</v>
      </c>
      <c r="G5" s="3">
        <v>3</v>
      </c>
      <c r="H5" s="6">
        <f>(F5+G5)/2</f>
        <v>4.5</v>
      </c>
      <c r="I5" s="3">
        <v>2</v>
      </c>
      <c r="J5" s="3">
        <v>3</v>
      </c>
      <c r="K5" s="6">
        <f>(J5+I5)/2</f>
        <v>2.5</v>
      </c>
      <c r="L5" s="6">
        <f t="shared" si="0"/>
        <v>11.25</v>
      </c>
      <c r="M5" s="3">
        <v>10</v>
      </c>
      <c r="N5" s="3">
        <v>6</v>
      </c>
      <c r="O5" s="3">
        <v>9</v>
      </c>
      <c r="P5" s="3">
        <v>18</v>
      </c>
      <c r="Q5" s="6">
        <f>(P5-O5)/O5</f>
        <v>1</v>
      </c>
      <c r="R5" s="1">
        <v>184</v>
      </c>
      <c r="S5" s="16">
        <v>0.46031746031746029</v>
      </c>
      <c r="T5" s="1">
        <v>115</v>
      </c>
      <c r="U5" s="3">
        <v>150</v>
      </c>
      <c r="V5" s="3">
        <v>0</v>
      </c>
      <c r="W5" s="5" t="s">
        <v>39</v>
      </c>
      <c r="X5" s="3">
        <v>1</v>
      </c>
      <c r="Y5" s="3">
        <v>0</v>
      </c>
      <c r="Z5" s="1">
        <v>0</v>
      </c>
      <c r="AA5" s="7">
        <f>((R5-T5)/T5)*100</f>
        <v>60</v>
      </c>
      <c r="AB5" s="3">
        <v>1</v>
      </c>
      <c r="AC5" s="3">
        <v>0</v>
      </c>
      <c r="AD5" s="3">
        <v>0</v>
      </c>
      <c r="AE5" s="3">
        <v>0</v>
      </c>
      <c r="AF5" s="3">
        <v>0</v>
      </c>
      <c r="AG5" s="3">
        <f>P5*R5</f>
        <v>3312</v>
      </c>
      <c r="AH5" s="3">
        <f>P5*T5</f>
        <v>2070</v>
      </c>
      <c r="AI5" s="6">
        <f>AG5/U5</f>
        <v>22.08</v>
      </c>
      <c r="AJ5" s="6">
        <f>AH5/U5</f>
        <v>13.8</v>
      </c>
      <c r="AK5" s="3">
        <v>1</v>
      </c>
    </row>
    <row r="6" spans="1:37" x14ac:dyDescent="0.3">
      <c r="A6" s="3">
        <v>5</v>
      </c>
      <c r="B6" t="s">
        <v>40</v>
      </c>
      <c r="C6" s="3" t="s">
        <v>33</v>
      </c>
      <c r="D6" s="3">
        <v>3</v>
      </c>
      <c r="E6" s="3">
        <v>0</v>
      </c>
      <c r="F6" s="3">
        <v>8</v>
      </c>
      <c r="G6" s="3">
        <v>8</v>
      </c>
      <c r="H6" s="6">
        <f>(F6+G6)/2</f>
        <v>8</v>
      </c>
      <c r="I6" s="3">
        <v>3</v>
      </c>
      <c r="J6" s="3">
        <v>6</v>
      </c>
      <c r="K6" s="6">
        <f>(J6+I6)/2</f>
        <v>4.5</v>
      </c>
      <c r="L6" s="6">
        <f t="shared" si="0"/>
        <v>36</v>
      </c>
      <c r="M6" s="3">
        <v>25</v>
      </c>
      <c r="N6" s="3">
        <v>6</v>
      </c>
      <c r="O6" s="3">
        <v>7</v>
      </c>
      <c r="P6" s="3">
        <v>17</v>
      </c>
      <c r="Q6" s="6">
        <f>(P6-O6)/O6</f>
        <v>1.4285714285714286</v>
      </c>
      <c r="R6" s="1">
        <v>351</v>
      </c>
      <c r="S6" s="16">
        <v>0</v>
      </c>
      <c r="T6" s="1">
        <v>324</v>
      </c>
      <c r="U6" s="3">
        <v>200</v>
      </c>
      <c r="V6" s="3">
        <v>0</v>
      </c>
      <c r="W6" s="5" t="s">
        <v>41</v>
      </c>
      <c r="X6" s="3">
        <v>0</v>
      </c>
      <c r="Y6" s="3">
        <v>1</v>
      </c>
      <c r="Z6" s="1">
        <v>0</v>
      </c>
      <c r="AA6" s="7">
        <f>((R6-T6)/T6)*100</f>
        <v>8.3333333333333321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f>P6*R6</f>
        <v>5967</v>
      </c>
      <c r="AH6" s="3">
        <f>P6*T6</f>
        <v>5508</v>
      </c>
      <c r="AI6" s="6">
        <f>AG6/U6</f>
        <v>29.835000000000001</v>
      </c>
      <c r="AJ6" s="6">
        <f>AH6/U6</f>
        <v>27.54</v>
      </c>
      <c r="AK6" s="3">
        <v>1</v>
      </c>
    </row>
    <row r="7" spans="1:37" x14ac:dyDescent="0.3">
      <c r="A7" s="3">
        <v>6</v>
      </c>
      <c r="B7" t="s">
        <v>42</v>
      </c>
      <c r="C7" s="3" t="s">
        <v>33</v>
      </c>
      <c r="D7" s="3">
        <v>3.5</v>
      </c>
      <c r="E7" s="3">
        <v>1</v>
      </c>
      <c r="F7" s="3">
        <v>9</v>
      </c>
      <c r="G7" s="3">
        <v>9</v>
      </c>
      <c r="H7" s="6">
        <f>(F7+G7)/2</f>
        <v>9</v>
      </c>
      <c r="I7" s="3">
        <v>3</v>
      </c>
      <c r="J7" s="3">
        <v>6</v>
      </c>
      <c r="K7" s="6">
        <f>(J7+I7)/2</f>
        <v>4.5</v>
      </c>
      <c r="L7" s="6">
        <f t="shared" si="0"/>
        <v>40.5</v>
      </c>
      <c r="M7" s="3">
        <v>25</v>
      </c>
      <c r="N7" s="3">
        <v>9</v>
      </c>
      <c r="O7" s="3">
        <v>7</v>
      </c>
      <c r="P7" s="3">
        <v>17</v>
      </c>
      <c r="Q7" s="6">
        <f>(P7-O7)/O7</f>
        <v>1.4285714285714286</v>
      </c>
      <c r="R7" s="1">
        <v>448</v>
      </c>
      <c r="S7" s="16">
        <v>0.27635327635327633</v>
      </c>
      <c r="T7" s="1">
        <v>364</v>
      </c>
      <c r="U7" s="3">
        <v>240</v>
      </c>
      <c r="V7" s="3">
        <v>0</v>
      </c>
      <c r="W7" s="5" t="s">
        <v>43</v>
      </c>
      <c r="X7" s="3">
        <v>0</v>
      </c>
      <c r="Y7" s="3">
        <v>1</v>
      </c>
      <c r="Z7" s="1">
        <v>0</v>
      </c>
      <c r="AA7" s="7">
        <f>((R7-T7)/T7)*100</f>
        <v>23.076923076923077</v>
      </c>
      <c r="AB7" s="3">
        <v>0.3</v>
      </c>
      <c r="AC7" s="3">
        <v>0</v>
      </c>
      <c r="AD7" s="3">
        <v>0</v>
      </c>
      <c r="AE7" s="3">
        <v>0</v>
      </c>
      <c r="AF7" s="3">
        <v>0</v>
      </c>
      <c r="AG7" s="3">
        <f>P7*R7</f>
        <v>7616</v>
      </c>
      <c r="AH7" s="3">
        <f>P7*T7</f>
        <v>6188</v>
      </c>
      <c r="AI7" s="6">
        <f>AG7/U7</f>
        <v>31.733333333333334</v>
      </c>
      <c r="AJ7" s="6">
        <f>AH7/U7</f>
        <v>25.783333333333335</v>
      </c>
      <c r="AK7" s="3">
        <v>1</v>
      </c>
    </row>
    <row r="8" spans="1:37" x14ac:dyDescent="0.3">
      <c r="A8" s="3">
        <v>7</v>
      </c>
      <c r="B8" t="s">
        <v>44</v>
      </c>
      <c r="C8" s="3" t="s">
        <v>33</v>
      </c>
      <c r="D8" s="3">
        <v>4</v>
      </c>
      <c r="E8" s="3">
        <v>0</v>
      </c>
      <c r="F8" s="3">
        <v>10</v>
      </c>
      <c r="G8" s="3">
        <v>12</v>
      </c>
      <c r="H8" s="6">
        <f>(F8+G8)/2</f>
        <v>11</v>
      </c>
      <c r="I8" s="3">
        <v>6</v>
      </c>
      <c r="J8" s="3">
        <v>9</v>
      </c>
      <c r="K8" s="6">
        <f>(J8+I8)/2</f>
        <v>7.5</v>
      </c>
      <c r="L8" s="6">
        <f t="shared" si="0"/>
        <v>82.5</v>
      </c>
      <c r="M8" s="3">
        <v>35</v>
      </c>
      <c r="N8" s="3">
        <v>5</v>
      </c>
      <c r="O8" s="3">
        <v>4</v>
      </c>
      <c r="P8" s="3">
        <v>8</v>
      </c>
      <c r="Q8" s="6">
        <f>(P8-O8)/O8</f>
        <v>1</v>
      </c>
      <c r="R8" s="1">
        <v>445</v>
      </c>
      <c r="S8" s="16">
        <v>0</v>
      </c>
      <c r="T8" s="1">
        <v>445</v>
      </c>
      <c r="U8" s="3">
        <v>300</v>
      </c>
      <c r="V8" s="3">
        <v>0</v>
      </c>
      <c r="W8" s="5" t="s">
        <v>45</v>
      </c>
      <c r="X8" s="3">
        <v>0</v>
      </c>
      <c r="Y8" s="3">
        <v>0</v>
      </c>
      <c r="Z8" s="1">
        <v>0</v>
      </c>
      <c r="AA8" s="7">
        <f>((R8-T8)/T8)*100</f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f>P8*R8</f>
        <v>3560</v>
      </c>
      <c r="AH8" s="3">
        <f>P8*T8</f>
        <v>3560</v>
      </c>
      <c r="AI8" s="6">
        <f>AG8/U8</f>
        <v>11.866666666666667</v>
      </c>
      <c r="AJ8" s="6">
        <f>AH8/U8</f>
        <v>11.866666666666667</v>
      </c>
      <c r="AK8" s="3">
        <v>0</v>
      </c>
    </row>
    <row r="9" spans="1:37" x14ac:dyDescent="0.3">
      <c r="A9" s="3">
        <v>8</v>
      </c>
      <c r="B9" t="s">
        <v>46</v>
      </c>
      <c r="C9" s="3" t="s">
        <v>33</v>
      </c>
      <c r="D9" s="3">
        <v>4.5</v>
      </c>
      <c r="E9" s="3">
        <v>1</v>
      </c>
      <c r="F9" s="3">
        <v>12</v>
      </c>
      <c r="G9" s="3">
        <v>12</v>
      </c>
      <c r="H9" s="6">
        <f>(F9+G9)/2</f>
        <v>12</v>
      </c>
      <c r="I9" s="3">
        <v>7</v>
      </c>
      <c r="J9" s="3">
        <v>10</v>
      </c>
      <c r="K9" s="6">
        <f>(J9+I9)/2</f>
        <v>8.5</v>
      </c>
      <c r="L9" s="6">
        <f t="shared" si="0"/>
        <v>102</v>
      </c>
      <c r="M9" s="3">
        <v>35</v>
      </c>
      <c r="N9" s="3">
        <v>6</v>
      </c>
      <c r="O9" s="3">
        <v>4</v>
      </c>
      <c r="P9" s="3">
        <v>8</v>
      </c>
      <c r="Q9" s="6">
        <f>(P9-O9)/O9</f>
        <v>1</v>
      </c>
      <c r="R9" s="1">
        <v>588</v>
      </c>
      <c r="S9" s="16">
        <v>0.32134831460674157</v>
      </c>
      <c r="T9" s="1">
        <v>588</v>
      </c>
      <c r="U9" s="3">
        <v>400</v>
      </c>
      <c r="V9" s="3">
        <v>0</v>
      </c>
      <c r="W9" s="5" t="s">
        <v>47</v>
      </c>
      <c r="X9" s="3">
        <v>0</v>
      </c>
      <c r="Y9" s="3">
        <v>0</v>
      </c>
      <c r="Z9" s="1">
        <v>0</v>
      </c>
      <c r="AA9" s="7">
        <f>((R9-T9)/T9)*100</f>
        <v>0</v>
      </c>
      <c r="AB9" s="3">
        <v>1</v>
      </c>
      <c r="AC9" s="3">
        <v>0</v>
      </c>
      <c r="AD9" s="3">
        <v>0</v>
      </c>
      <c r="AE9" s="3">
        <v>0</v>
      </c>
      <c r="AF9" s="3">
        <v>0</v>
      </c>
      <c r="AG9" s="3">
        <f>P9*R9</f>
        <v>4704</v>
      </c>
      <c r="AH9" s="3">
        <f>P9*T9</f>
        <v>4704</v>
      </c>
      <c r="AI9" s="6">
        <f>AG9/U9</f>
        <v>11.76</v>
      </c>
      <c r="AJ9" s="6">
        <f>AH9/U9</f>
        <v>11.76</v>
      </c>
      <c r="AK9" s="3">
        <v>0</v>
      </c>
    </row>
    <row r="10" spans="1:37" x14ac:dyDescent="0.3">
      <c r="A10" s="3">
        <v>9</v>
      </c>
      <c r="B10" t="s">
        <v>48</v>
      </c>
      <c r="C10" s="3" t="s">
        <v>33</v>
      </c>
      <c r="D10" s="3">
        <v>5</v>
      </c>
      <c r="E10" s="3">
        <v>0</v>
      </c>
      <c r="F10" s="3">
        <v>12</v>
      </c>
      <c r="G10" s="3">
        <v>7</v>
      </c>
      <c r="H10" s="6">
        <f>(F10+G10)/2</f>
        <v>9.5</v>
      </c>
      <c r="I10" s="3">
        <v>10</v>
      </c>
      <c r="J10" s="3">
        <v>12</v>
      </c>
      <c r="K10" s="6">
        <f>(J10+I10)/2</f>
        <v>11</v>
      </c>
      <c r="L10" s="6">
        <f t="shared" si="0"/>
        <v>104.5</v>
      </c>
      <c r="M10" s="3">
        <v>30</v>
      </c>
      <c r="N10" s="3">
        <v>5</v>
      </c>
      <c r="O10" s="3">
        <v>3</v>
      </c>
      <c r="P10" s="3">
        <v>6</v>
      </c>
      <c r="Q10" s="6">
        <f>(P10-O10)/O10</f>
        <v>1</v>
      </c>
      <c r="R10" s="1">
        <v>582</v>
      </c>
      <c r="S10" s="16">
        <v>0</v>
      </c>
      <c r="T10" s="1">
        <v>485</v>
      </c>
      <c r="U10" s="3">
        <v>400</v>
      </c>
      <c r="V10" s="3">
        <v>0</v>
      </c>
      <c r="W10" s="5" t="s">
        <v>37</v>
      </c>
      <c r="X10" s="3">
        <v>1</v>
      </c>
      <c r="Y10" s="3">
        <v>0</v>
      </c>
      <c r="Z10" s="1">
        <v>0</v>
      </c>
      <c r="AA10" s="7">
        <f>((R10-T10)/T10)*100</f>
        <v>20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f>P10*R10</f>
        <v>3492</v>
      </c>
      <c r="AH10" s="3">
        <f>P10*T10</f>
        <v>2910</v>
      </c>
      <c r="AI10" s="6">
        <f>AG10/U10</f>
        <v>8.73</v>
      </c>
      <c r="AJ10" s="6">
        <f>AH10/U10</f>
        <v>7.2750000000000004</v>
      </c>
      <c r="AK10" s="3">
        <v>1</v>
      </c>
    </row>
    <row r="11" spans="1:37" x14ac:dyDescent="0.3">
      <c r="A11" s="3">
        <v>10</v>
      </c>
      <c r="B11" t="s">
        <v>49</v>
      </c>
      <c r="C11" s="3" t="s">
        <v>33</v>
      </c>
      <c r="D11" s="3">
        <v>5.5</v>
      </c>
      <c r="E11" s="3">
        <v>1</v>
      </c>
      <c r="F11" s="3">
        <v>12</v>
      </c>
      <c r="G11" s="3">
        <v>10</v>
      </c>
      <c r="H11" s="6">
        <f>(F11+G11)/2</f>
        <v>11</v>
      </c>
      <c r="I11" s="3">
        <v>10</v>
      </c>
      <c r="J11" s="3">
        <v>12</v>
      </c>
      <c r="K11" s="6">
        <f>(J11+I11)/2</f>
        <v>11</v>
      </c>
      <c r="L11" s="6">
        <f t="shared" si="0"/>
        <v>121</v>
      </c>
      <c r="M11" s="3">
        <v>30</v>
      </c>
      <c r="N11" s="3">
        <v>7</v>
      </c>
      <c r="O11" s="3">
        <v>3</v>
      </c>
      <c r="P11" s="3">
        <v>6</v>
      </c>
      <c r="Q11" s="6">
        <f>(P11-O11)/O11</f>
        <v>1</v>
      </c>
      <c r="R11" s="1">
        <v>750</v>
      </c>
      <c r="S11" s="16">
        <v>0.28865979381443296</v>
      </c>
      <c r="T11" s="1">
        <v>500</v>
      </c>
      <c r="U11" s="3">
        <v>450</v>
      </c>
      <c r="V11" s="3">
        <v>0</v>
      </c>
      <c r="W11" s="5" t="s">
        <v>50</v>
      </c>
      <c r="X11" s="3">
        <v>1</v>
      </c>
      <c r="Y11" s="3">
        <v>0</v>
      </c>
      <c r="Z11" s="1">
        <v>0</v>
      </c>
      <c r="AA11" s="7">
        <f>((R11-T11)/T11)*100</f>
        <v>50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f>P11*R11</f>
        <v>4500</v>
      </c>
      <c r="AH11" s="3">
        <f>P11*T11</f>
        <v>3000</v>
      </c>
      <c r="AI11" s="6">
        <f>AG11/U11</f>
        <v>10</v>
      </c>
      <c r="AJ11" s="6">
        <f>AH11/U11</f>
        <v>6.666666666666667</v>
      </c>
      <c r="AK11" s="3">
        <v>1</v>
      </c>
    </row>
    <row r="12" spans="1:37" x14ac:dyDescent="0.3">
      <c r="A12" s="3">
        <v>11</v>
      </c>
      <c r="B12" t="s">
        <v>51</v>
      </c>
      <c r="C12" s="3" t="s">
        <v>33</v>
      </c>
      <c r="D12" s="3">
        <v>6</v>
      </c>
      <c r="E12" s="3">
        <v>0</v>
      </c>
      <c r="F12" s="3">
        <v>15</v>
      </c>
      <c r="G12" s="3">
        <v>15</v>
      </c>
      <c r="H12" s="6">
        <f>(F12+G12)/2</f>
        <v>15</v>
      </c>
      <c r="I12" s="3">
        <v>15</v>
      </c>
      <c r="J12" s="3">
        <v>25</v>
      </c>
      <c r="K12" s="6">
        <f>(J12+I12)/2</f>
        <v>20</v>
      </c>
      <c r="L12" s="6">
        <f t="shared" si="0"/>
        <v>300</v>
      </c>
      <c r="M12" s="3">
        <v>100</v>
      </c>
      <c r="N12" s="3">
        <v>7</v>
      </c>
      <c r="O12" s="3">
        <v>2</v>
      </c>
      <c r="P12" s="3">
        <v>4</v>
      </c>
      <c r="Q12" s="6">
        <f>(P12-O12)/O12</f>
        <v>1</v>
      </c>
      <c r="R12" s="1">
        <v>1946</v>
      </c>
      <c r="S12" s="16">
        <v>0</v>
      </c>
      <c r="T12" s="1">
        <v>1668</v>
      </c>
      <c r="U12" s="3">
        <v>1000</v>
      </c>
      <c r="V12" s="3">
        <v>0</v>
      </c>
      <c r="W12" s="5" t="s">
        <v>52</v>
      </c>
      <c r="X12" s="3">
        <v>0</v>
      </c>
      <c r="Y12" s="3">
        <v>0</v>
      </c>
      <c r="Z12" s="1">
        <v>0</v>
      </c>
      <c r="AA12" s="7">
        <f>((R12-T12)/T12)*100</f>
        <v>16.666666666666664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f>P12*R12</f>
        <v>7784</v>
      </c>
      <c r="AH12" s="3">
        <f>P12*T12</f>
        <v>6672</v>
      </c>
      <c r="AI12" s="6">
        <f>AG12/U12</f>
        <v>7.7839999999999998</v>
      </c>
      <c r="AJ12" s="6">
        <f>AH12/U12</f>
        <v>6.6719999999999997</v>
      </c>
      <c r="AK12" s="3">
        <v>0</v>
      </c>
    </row>
    <row r="13" spans="1:37" x14ac:dyDescent="0.3">
      <c r="A13" s="3">
        <v>12</v>
      </c>
      <c r="B13" t="s">
        <v>53</v>
      </c>
      <c r="C13" s="3" t="s">
        <v>33</v>
      </c>
      <c r="D13" s="3">
        <v>6.5</v>
      </c>
      <c r="E13" s="3">
        <v>1</v>
      </c>
      <c r="F13" s="3">
        <v>16</v>
      </c>
      <c r="G13" s="3">
        <v>16</v>
      </c>
      <c r="H13" s="6">
        <f>(F13+G13)/2</f>
        <v>16</v>
      </c>
      <c r="I13" s="3">
        <v>20</v>
      </c>
      <c r="J13" s="3">
        <v>25</v>
      </c>
      <c r="K13" s="6">
        <f>(J13+I13)/2</f>
        <v>22.5</v>
      </c>
      <c r="L13" s="6">
        <f t="shared" si="0"/>
        <v>360</v>
      </c>
      <c r="M13" s="3">
        <v>100</v>
      </c>
      <c r="N13" s="3">
        <v>9</v>
      </c>
      <c r="O13" s="3">
        <v>2</v>
      </c>
      <c r="P13" s="3">
        <v>4</v>
      </c>
      <c r="Q13" s="6">
        <f>(P13-O13)/O13</f>
        <v>1</v>
      </c>
      <c r="R13" s="1">
        <v>2100</v>
      </c>
      <c r="S13" s="16">
        <v>7.9136690647482008E-2</v>
      </c>
      <c r="T13" s="1">
        <v>1800</v>
      </c>
      <c r="U13" s="3">
        <v>1200</v>
      </c>
      <c r="V13" s="3">
        <v>0</v>
      </c>
      <c r="W13" s="5" t="s">
        <v>52</v>
      </c>
      <c r="X13" s="3">
        <v>0</v>
      </c>
      <c r="Y13" s="3">
        <v>0</v>
      </c>
      <c r="Z13" s="1">
        <v>0</v>
      </c>
      <c r="AA13" s="7">
        <f>((R13-T13)/T13)*100</f>
        <v>16.666666666666664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f>P13*R13</f>
        <v>8400</v>
      </c>
      <c r="AH13" s="3">
        <f>P13*T13</f>
        <v>7200</v>
      </c>
      <c r="AI13" s="6">
        <f>AG13/U13</f>
        <v>7</v>
      </c>
      <c r="AJ13" s="6">
        <f>AH13/U13</f>
        <v>6</v>
      </c>
      <c r="AK13" s="3">
        <v>0</v>
      </c>
    </row>
    <row r="14" spans="1:37" x14ac:dyDescent="0.3">
      <c r="A14" s="3">
        <v>13</v>
      </c>
      <c r="B14" t="s">
        <v>54</v>
      </c>
      <c r="C14" s="3" t="s">
        <v>33</v>
      </c>
      <c r="D14" s="3">
        <v>7</v>
      </c>
      <c r="E14" s="3">
        <v>0</v>
      </c>
      <c r="F14" s="3">
        <v>20</v>
      </c>
      <c r="G14" s="3">
        <v>20</v>
      </c>
      <c r="H14" s="6">
        <f>(F14+G14)/2</f>
        <v>20</v>
      </c>
      <c r="I14" s="3">
        <v>50</v>
      </c>
      <c r="J14" s="3">
        <v>50</v>
      </c>
      <c r="K14" s="6">
        <f>(J14+I14)/2</f>
        <v>50</v>
      </c>
      <c r="L14" s="6">
        <f t="shared" si="0"/>
        <v>1000</v>
      </c>
      <c r="M14" s="3">
        <v>200</v>
      </c>
      <c r="N14" s="3">
        <v>12</v>
      </c>
      <c r="O14" s="3">
        <v>1</v>
      </c>
      <c r="P14" s="3">
        <v>2</v>
      </c>
      <c r="Q14" s="6">
        <f>(P14-O14)/O14</f>
        <v>1</v>
      </c>
      <c r="R14" s="1">
        <v>5019</v>
      </c>
      <c r="S14" s="16">
        <v>0</v>
      </c>
      <c r="T14" s="1">
        <v>3585</v>
      </c>
      <c r="U14" s="3">
        <v>3000</v>
      </c>
      <c r="V14" s="3">
        <v>1</v>
      </c>
      <c r="W14" s="5" t="s">
        <v>55</v>
      </c>
      <c r="X14" s="3">
        <v>0</v>
      </c>
      <c r="Y14" s="3">
        <v>1</v>
      </c>
      <c r="Z14" s="1">
        <v>0</v>
      </c>
      <c r="AA14" s="7">
        <f>((R14-T14)/T14)*100</f>
        <v>40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f>P14*R14</f>
        <v>10038</v>
      </c>
      <c r="AH14" s="3">
        <f>P14*T14</f>
        <v>7170</v>
      </c>
      <c r="AI14" s="6">
        <f>AG14/U14</f>
        <v>3.3460000000000001</v>
      </c>
      <c r="AJ14" s="6">
        <f>AH14/U14</f>
        <v>2.39</v>
      </c>
      <c r="AK14" s="3">
        <v>1</v>
      </c>
    </row>
    <row r="15" spans="1:37" x14ac:dyDescent="0.3">
      <c r="A15" s="3">
        <v>14</v>
      </c>
      <c r="B15" t="s">
        <v>56</v>
      </c>
      <c r="C15" s="3" t="s">
        <v>33</v>
      </c>
      <c r="D15" s="3">
        <v>7.5</v>
      </c>
      <c r="E15" s="3">
        <v>1</v>
      </c>
      <c r="F15" s="3">
        <v>30</v>
      </c>
      <c r="G15" s="3">
        <v>30</v>
      </c>
      <c r="H15" s="6">
        <f>(F15+G15)/2</f>
        <v>30</v>
      </c>
      <c r="I15" s="3">
        <v>50</v>
      </c>
      <c r="J15" s="3">
        <v>50</v>
      </c>
      <c r="K15" s="6">
        <f>(J15+I15)/2</f>
        <v>50</v>
      </c>
      <c r="L15" s="6">
        <f t="shared" si="0"/>
        <v>1500</v>
      </c>
      <c r="M15" s="3">
        <v>250</v>
      </c>
      <c r="N15" s="3">
        <v>18</v>
      </c>
      <c r="O15" s="3">
        <v>1</v>
      </c>
      <c r="P15" s="3">
        <v>2</v>
      </c>
      <c r="Q15" s="6">
        <f>(P15-O15)/O15</f>
        <v>1</v>
      </c>
      <c r="R15" s="1">
        <v>8776</v>
      </c>
      <c r="S15" s="16">
        <v>0.74855548914126324</v>
      </c>
      <c r="T15" s="1">
        <v>6033</v>
      </c>
      <c r="U15" s="3">
        <v>5000</v>
      </c>
      <c r="V15" s="3">
        <v>3</v>
      </c>
      <c r="W15" s="5" t="s">
        <v>57</v>
      </c>
      <c r="X15" s="3">
        <v>0</v>
      </c>
      <c r="Y15" s="3">
        <v>1</v>
      </c>
      <c r="Z15" s="1">
        <v>0</v>
      </c>
      <c r="AA15" s="7">
        <f>((R15-T15)/T15)*100</f>
        <v>45.466600364661033</v>
      </c>
      <c r="AB15" s="3">
        <v>0</v>
      </c>
      <c r="AC15" s="3">
        <v>0</v>
      </c>
      <c r="AD15" s="3">
        <v>0</v>
      </c>
      <c r="AE15" s="3">
        <v>0</v>
      </c>
      <c r="AF15" s="3">
        <v>1</v>
      </c>
      <c r="AG15" s="3">
        <f>P15*R15</f>
        <v>17552</v>
      </c>
      <c r="AH15" s="3">
        <f>P15*T15</f>
        <v>12066</v>
      </c>
      <c r="AI15" s="6">
        <f>AG15/U15</f>
        <v>3.5104000000000002</v>
      </c>
      <c r="AJ15" s="6">
        <f>AH15/U15</f>
        <v>2.4131999999999998</v>
      </c>
      <c r="AK15" s="3">
        <v>1</v>
      </c>
    </row>
    <row r="16" spans="1:37" x14ac:dyDescent="0.3">
      <c r="A16" s="3">
        <v>15</v>
      </c>
      <c r="B16" t="s">
        <v>58</v>
      </c>
      <c r="C16" s="3" t="s">
        <v>59</v>
      </c>
      <c r="D16" s="3">
        <v>1</v>
      </c>
      <c r="E16" s="3">
        <v>0</v>
      </c>
      <c r="F16" s="3">
        <v>5</v>
      </c>
      <c r="G16" s="3">
        <v>3</v>
      </c>
      <c r="H16" s="6">
        <f>(F16+G16)/2</f>
        <v>4</v>
      </c>
      <c r="I16" s="3">
        <v>2</v>
      </c>
      <c r="J16" s="3">
        <v>3</v>
      </c>
      <c r="K16" s="6">
        <f>(J16+I16)/2</f>
        <v>2.5</v>
      </c>
      <c r="L16" s="6">
        <f t="shared" si="0"/>
        <v>10</v>
      </c>
      <c r="M16" s="3">
        <v>8</v>
      </c>
      <c r="N16" s="3">
        <v>6</v>
      </c>
      <c r="O16" s="3">
        <v>14</v>
      </c>
      <c r="P16" s="3">
        <v>28</v>
      </c>
      <c r="Q16" s="6">
        <f>(P16-O16)/O16</f>
        <v>1</v>
      </c>
      <c r="R16" s="1">
        <v>100</v>
      </c>
      <c r="S16" s="16">
        <v>0</v>
      </c>
      <c r="T16" s="1">
        <v>100</v>
      </c>
      <c r="U16" s="3">
        <v>70</v>
      </c>
      <c r="V16" s="3">
        <v>0</v>
      </c>
      <c r="W16" s="5" t="s">
        <v>45</v>
      </c>
      <c r="X16" s="3">
        <v>0</v>
      </c>
      <c r="Y16" s="3">
        <v>0</v>
      </c>
      <c r="Z16" s="1">
        <v>0</v>
      </c>
      <c r="AA16" s="7">
        <f>((R16-T16)/T16)*100</f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f>P16*R16</f>
        <v>2800</v>
      </c>
      <c r="AH16" s="3">
        <f>P16*T16</f>
        <v>2800</v>
      </c>
      <c r="AI16" s="6">
        <f>AG16/U16</f>
        <v>40</v>
      </c>
      <c r="AJ16" s="6">
        <f>AH16/U16</f>
        <v>40</v>
      </c>
      <c r="AK16" s="3">
        <v>0</v>
      </c>
    </row>
    <row r="17" spans="1:37" x14ac:dyDescent="0.3">
      <c r="A17" s="3">
        <v>16</v>
      </c>
      <c r="B17" t="s">
        <v>60</v>
      </c>
      <c r="C17" s="3" t="s">
        <v>59</v>
      </c>
      <c r="D17" s="3">
        <v>1.5</v>
      </c>
      <c r="E17" s="3">
        <v>1</v>
      </c>
      <c r="F17" s="3">
        <v>6</v>
      </c>
      <c r="G17" s="3">
        <v>3</v>
      </c>
      <c r="H17" s="6">
        <f>(F17+G17)/2</f>
        <v>4.5</v>
      </c>
      <c r="I17" s="3">
        <v>2</v>
      </c>
      <c r="J17" s="3">
        <v>3</v>
      </c>
      <c r="K17" s="6">
        <f>(J17+I17)/2</f>
        <v>2.5</v>
      </c>
      <c r="L17" s="6">
        <f t="shared" si="0"/>
        <v>11.25</v>
      </c>
      <c r="M17" s="3">
        <v>10</v>
      </c>
      <c r="N17" s="3">
        <v>8</v>
      </c>
      <c r="O17" s="3">
        <v>14</v>
      </c>
      <c r="P17" s="3">
        <v>28</v>
      </c>
      <c r="Q17" s="6">
        <f>(P17-O17)/O17</f>
        <v>1</v>
      </c>
      <c r="R17" s="1">
        <v>138</v>
      </c>
      <c r="S17" s="16">
        <v>0.38</v>
      </c>
      <c r="T17" s="1">
        <v>115</v>
      </c>
      <c r="U17" s="3">
        <v>90</v>
      </c>
      <c r="V17" s="3">
        <v>0</v>
      </c>
      <c r="W17" s="5" t="s">
        <v>45</v>
      </c>
      <c r="X17" s="3">
        <v>0</v>
      </c>
      <c r="Y17" s="3">
        <v>0</v>
      </c>
      <c r="Z17" s="1">
        <v>0</v>
      </c>
      <c r="AA17" s="7">
        <f>((R17-T17)/T17)*100</f>
        <v>20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f>P17*R17</f>
        <v>3864</v>
      </c>
      <c r="AH17" s="3">
        <f>P17*T17</f>
        <v>3220</v>
      </c>
      <c r="AI17" s="6">
        <f>AG17/U17</f>
        <v>42.93333333333333</v>
      </c>
      <c r="AJ17" s="6">
        <f>AH17/U17</f>
        <v>35.777777777777779</v>
      </c>
      <c r="AK17" s="3">
        <v>0</v>
      </c>
    </row>
    <row r="18" spans="1:37" x14ac:dyDescent="0.3">
      <c r="A18" s="3">
        <v>17</v>
      </c>
      <c r="B18" t="s">
        <v>61</v>
      </c>
      <c r="C18" s="3" t="s">
        <v>59</v>
      </c>
      <c r="D18" s="3">
        <v>2</v>
      </c>
      <c r="E18" s="3">
        <v>0</v>
      </c>
      <c r="F18" s="3">
        <v>6</v>
      </c>
      <c r="G18" s="3">
        <v>7</v>
      </c>
      <c r="H18" s="6">
        <f>(F18+G18)/2</f>
        <v>6.5</v>
      </c>
      <c r="I18" s="3">
        <v>2</v>
      </c>
      <c r="J18" s="3">
        <v>4</v>
      </c>
      <c r="K18" s="6">
        <f>(J18+I18)/2</f>
        <v>3</v>
      </c>
      <c r="L18" s="6">
        <f t="shared" si="0"/>
        <v>19.5</v>
      </c>
      <c r="M18" s="3">
        <v>20</v>
      </c>
      <c r="N18" s="3">
        <v>3</v>
      </c>
      <c r="O18" s="3">
        <v>8</v>
      </c>
      <c r="P18" s="3">
        <v>20</v>
      </c>
      <c r="Q18" s="6">
        <f>(P18-O18)/O18</f>
        <v>1.5</v>
      </c>
      <c r="R18" s="1">
        <v>138</v>
      </c>
      <c r="S18" s="16">
        <v>0</v>
      </c>
      <c r="T18" s="1">
        <v>194</v>
      </c>
      <c r="U18" s="3">
        <v>120</v>
      </c>
      <c r="V18" s="3">
        <v>0</v>
      </c>
      <c r="W18" s="5" t="s">
        <v>62</v>
      </c>
      <c r="X18" s="3">
        <v>0</v>
      </c>
      <c r="Y18" s="3">
        <v>0</v>
      </c>
      <c r="Z18" s="1">
        <v>0</v>
      </c>
      <c r="AA18" s="7">
        <f>((R18-T18)/T18)*100</f>
        <v>-28.865979381443296</v>
      </c>
      <c r="AB18" s="3">
        <v>0</v>
      </c>
      <c r="AC18" s="3">
        <v>0</v>
      </c>
      <c r="AD18" s="3">
        <v>0</v>
      </c>
      <c r="AE18" s="3">
        <v>0.2</v>
      </c>
      <c r="AF18" s="3">
        <v>0</v>
      </c>
      <c r="AG18" s="3">
        <f>P18*R18</f>
        <v>2760</v>
      </c>
      <c r="AH18" s="3">
        <f>P18*T18</f>
        <v>3880</v>
      </c>
      <c r="AI18" s="6">
        <f>AG18/U18</f>
        <v>23</v>
      </c>
      <c r="AJ18" s="6">
        <f>AH18/U18</f>
        <v>32.333333333333336</v>
      </c>
      <c r="AK18" s="3">
        <v>0</v>
      </c>
    </row>
    <row r="19" spans="1:37" x14ac:dyDescent="0.3">
      <c r="A19" s="3">
        <v>18</v>
      </c>
      <c r="B19" t="s">
        <v>63</v>
      </c>
      <c r="C19" s="3" t="s">
        <v>59</v>
      </c>
      <c r="D19" s="3">
        <v>2.5</v>
      </c>
      <c r="E19" s="3">
        <v>1</v>
      </c>
      <c r="F19" s="3">
        <v>7</v>
      </c>
      <c r="G19" s="3">
        <v>7</v>
      </c>
      <c r="H19" s="6">
        <f>(F19+G19)/2</f>
        <v>7</v>
      </c>
      <c r="I19" s="3">
        <v>2</v>
      </c>
      <c r="J19" s="3">
        <v>4</v>
      </c>
      <c r="K19" s="6">
        <f>(J19+I19)/2</f>
        <v>3</v>
      </c>
      <c r="L19" s="6">
        <f t="shared" si="0"/>
        <v>21</v>
      </c>
      <c r="M19" s="3">
        <v>20</v>
      </c>
      <c r="N19" s="3">
        <v>5</v>
      </c>
      <c r="O19" s="3">
        <v>8</v>
      </c>
      <c r="P19" s="3">
        <v>20</v>
      </c>
      <c r="Q19" s="6">
        <f>(P19-O19)/O19</f>
        <v>1.5</v>
      </c>
      <c r="R19" s="1">
        <v>209</v>
      </c>
      <c r="S19" s="16">
        <v>0.51449275362318836</v>
      </c>
      <c r="T19" s="1">
        <v>209</v>
      </c>
      <c r="U19" s="3">
        <v>150</v>
      </c>
      <c r="V19" s="3">
        <v>0</v>
      </c>
      <c r="W19" s="5" t="s">
        <v>64</v>
      </c>
      <c r="X19" s="3">
        <v>0</v>
      </c>
      <c r="Y19" s="3">
        <v>0</v>
      </c>
      <c r="Z19" s="1">
        <v>0</v>
      </c>
      <c r="AA19" s="7">
        <f>((R19-T19)/T19)*100</f>
        <v>0</v>
      </c>
      <c r="AB19" s="3">
        <v>0</v>
      </c>
      <c r="AC19" s="3">
        <v>0</v>
      </c>
      <c r="AD19" s="3">
        <v>0</v>
      </c>
      <c r="AE19" s="3">
        <v>0.4</v>
      </c>
      <c r="AF19" s="3">
        <v>0</v>
      </c>
      <c r="AG19" s="3">
        <f>P19*R19</f>
        <v>4180</v>
      </c>
      <c r="AH19" s="3">
        <f>P19*T19</f>
        <v>4180</v>
      </c>
      <c r="AI19" s="6">
        <f>AG19/U19</f>
        <v>27.866666666666667</v>
      </c>
      <c r="AJ19" s="6">
        <f>AH19/U19</f>
        <v>27.866666666666667</v>
      </c>
      <c r="AK19" s="3">
        <v>0</v>
      </c>
    </row>
    <row r="20" spans="1:37" x14ac:dyDescent="0.3">
      <c r="A20" s="3">
        <v>19</v>
      </c>
      <c r="B20" t="s">
        <v>65</v>
      </c>
      <c r="C20" s="3" t="s">
        <v>59</v>
      </c>
      <c r="D20" s="3">
        <v>3</v>
      </c>
      <c r="E20" s="3">
        <v>0</v>
      </c>
      <c r="F20" s="3">
        <v>9</v>
      </c>
      <c r="G20" s="3">
        <v>5</v>
      </c>
      <c r="H20" s="6">
        <f>(F20+G20)/2</f>
        <v>7</v>
      </c>
      <c r="I20" s="3">
        <v>3</v>
      </c>
      <c r="J20" s="3">
        <v>5</v>
      </c>
      <c r="K20" s="6">
        <f>(J20+I20)/2</f>
        <v>4</v>
      </c>
      <c r="L20" s="6">
        <f t="shared" si="0"/>
        <v>28</v>
      </c>
      <c r="M20" s="3">
        <v>15</v>
      </c>
      <c r="N20" s="3">
        <v>6</v>
      </c>
      <c r="O20" s="3">
        <v>7</v>
      </c>
      <c r="P20" s="3">
        <v>14</v>
      </c>
      <c r="Q20" s="6">
        <f>(P20-O20)/O20</f>
        <v>1</v>
      </c>
      <c r="R20" s="1">
        <v>234</v>
      </c>
      <c r="S20" s="16">
        <v>0</v>
      </c>
      <c r="T20" s="1">
        <v>195</v>
      </c>
      <c r="U20" s="3">
        <v>200</v>
      </c>
      <c r="V20" s="3">
        <v>0</v>
      </c>
      <c r="W20" s="5" t="s">
        <v>66</v>
      </c>
      <c r="X20" s="3">
        <v>1</v>
      </c>
      <c r="Y20" s="3">
        <v>0</v>
      </c>
      <c r="Z20" s="1">
        <v>0</v>
      </c>
      <c r="AA20" s="7">
        <f>((R20-T20)/T20)*100</f>
        <v>20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f>P20*R20</f>
        <v>3276</v>
      </c>
      <c r="AH20" s="3">
        <f>P20*T20</f>
        <v>2730</v>
      </c>
      <c r="AI20" s="6">
        <f>AG20/U20</f>
        <v>16.38</v>
      </c>
      <c r="AJ20" s="6">
        <f>AH20/U20</f>
        <v>13.65</v>
      </c>
      <c r="AK20" s="3">
        <v>1</v>
      </c>
    </row>
    <row r="21" spans="1:37" x14ac:dyDescent="0.3">
      <c r="A21" s="3">
        <v>20</v>
      </c>
      <c r="B21" t="s">
        <v>67</v>
      </c>
      <c r="C21" s="3" t="s">
        <v>59</v>
      </c>
      <c r="D21" s="3">
        <v>3.5</v>
      </c>
      <c r="E21" s="3">
        <v>1</v>
      </c>
      <c r="F21" s="3">
        <v>9</v>
      </c>
      <c r="G21" s="3">
        <v>5</v>
      </c>
      <c r="H21" s="6">
        <f>(F21+G21)/2</f>
        <v>7</v>
      </c>
      <c r="I21" s="3">
        <v>3</v>
      </c>
      <c r="J21" s="3">
        <v>5</v>
      </c>
      <c r="K21" s="6">
        <f>(J21+I21)/2</f>
        <v>4</v>
      </c>
      <c r="L21" s="6">
        <f t="shared" si="0"/>
        <v>28</v>
      </c>
      <c r="M21" s="3">
        <v>15</v>
      </c>
      <c r="N21" s="3">
        <v>7</v>
      </c>
      <c r="O21" s="3">
        <v>7</v>
      </c>
      <c r="P21" s="3">
        <v>14</v>
      </c>
      <c r="Q21" s="6">
        <f>(P21-O21)/O21</f>
        <v>1</v>
      </c>
      <c r="R21" s="1">
        <v>331</v>
      </c>
      <c r="S21" s="16">
        <v>0.41452991452991456</v>
      </c>
      <c r="T21" s="1">
        <v>195</v>
      </c>
      <c r="U21" s="3">
        <v>225</v>
      </c>
      <c r="V21" s="3">
        <v>0</v>
      </c>
      <c r="W21" s="5" t="s">
        <v>39</v>
      </c>
      <c r="X21" s="3">
        <v>1</v>
      </c>
      <c r="Y21" s="3">
        <v>0</v>
      </c>
      <c r="Z21" s="1">
        <v>0</v>
      </c>
      <c r="AA21" s="7">
        <f>((R21-T21)/T21)*100</f>
        <v>69.743589743589737</v>
      </c>
      <c r="AB21" s="3">
        <v>1</v>
      </c>
      <c r="AC21" s="3">
        <v>0</v>
      </c>
      <c r="AD21" s="3">
        <v>0</v>
      </c>
      <c r="AE21" s="3">
        <v>0</v>
      </c>
      <c r="AF21" s="3">
        <v>0</v>
      </c>
      <c r="AG21" s="3">
        <f>P21*R21</f>
        <v>4634</v>
      </c>
      <c r="AH21" s="3">
        <f>P21*T21</f>
        <v>2730</v>
      </c>
      <c r="AI21" s="6">
        <f>AG21/U21</f>
        <v>20.595555555555556</v>
      </c>
      <c r="AJ21" s="6">
        <f>AH21/U21</f>
        <v>12.133333333333333</v>
      </c>
      <c r="AK21" s="3">
        <v>1</v>
      </c>
    </row>
    <row r="22" spans="1:37" x14ac:dyDescent="0.3">
      <c r="A22" s="3">
        <v>21</v>
      </c>
      <c r="B22" t="s">
        <v>68</v>
      </c>
      <c r="C22" s="3" t="s">
        <v>59</v>
      </c>
      <c r="D22" s="3">
        <v>4</v>
      </c>
      <c r="E22" s="3">
        <v>0</v>
      </c>
      <c r="F22" s="3">
        <v>9</v>
      </c>
      <c r="G22" s="3">
        <v>8</v>
      </c>
      <c r="H22" s="6">
        <f>(F22+G22)/2</f>
        <v>8.5</v>
      </c>
      <c r="I22" s="3">
        <v>5</v>
      </c>
      <c r="J22" s="3">
        <v>9</v>
      </c>
      <c r="K22" s="6">
        <f>(J22+I22)/2</f>
        <v>7</v>
      </c>
      <c r="L22" s="6">
        <f t="shared" si="0"/>
        <v>59.5</v>
      </c>
      <c r="M22" s="3">
        <v>30</v>
      </c>
      <c r="N22" s="3">
        <v>8</v>
      </c>
      <c r="O22" s="3">
        <v>5</v>
      </c>
      <c r="P22" s="3">
        <v>10</v>
      </c>
      <c r="Q22" s="6">
        <f>(P22-O22)/O22</f>
        <v>1</v>
      </c>
      <c r="R22" s="1">
        <v>518</v>
      </c>
      <c r="S22" s="16">
        <v>0</v>
      </c>
      <c r="T22" s="1">
        <v>407</v>
      </c>
      <c r="U22" s="3">
        <v>250</v>
      </c>
      <c r="V22" s="3">
        <v>0</v>
      </c>
      <c r="W22" s="5" t="s">
        <v>69</v>
      </c>
      <c r="X22" s="3">
        <v>0</v>
      </c>
      <c r="Y22" s="3">
        <v>1</v>
      </c>
      <c r="Z22" s="1">
        <v>0</v>
      </c>
      <c r="AA22" s="7">
        <f>((R22-T22)/T22)*100</f>
        <v>27.27272727272727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f>P22*R22</f>
        <v>5180</v>
      </c>
      <c r="AH22" s="3">
        <f>P22*T22</f>
        <v>4070</v>
      </c>
      <c r="AI22" s="6">
        <f>AG22/U22</f>
        <v>20.72</v>
      </c>
      <c r="AJ22" s="6">
        <f>AH22/U22</f>
        <v>16.28</v>
      </c>
      <c r="AK22" s="3">
        <v>1</v>
      </c>
    </row>
    <row r="23" spans="1:37" x14ac:dyDescent="0.3">
      <c r="A23" s="3">
        <v>22</v>
      </c>
      <c r="B23" t="s">
        <v>70</v>
      </c>
      <c r="C23" s="3" t="s">
        <v>59</v>
      </c>
      <c r="D23" s="3">
        <v>4.5</v>
      </c>
      <c r="E23" s="3">
        <v>1</v>
      </c>
      <c r="F23" s="3">
        <v>9</v>
      </c>
      <c r="G23" s="3">
        <v>10</v>
      </c>
      <c r="H23" s="6">
        <f>(F23+G23)/2</f>
        <v>9.5</v>
      </c>
      <c r="I23" s="3">
        <v>5</v>
      </c>
      <c r="J23" s="3">
        <v>9</v>
      </c>
      <c r="K23" s="6">
        <f>(J23+I23)/2</f>
        <v>7</v>
      </c>
      <c r="L23" s="6">
        <f t="shared" si="0"/>
        <v>66.5</v>
      </c>
      <c r="M23" s="3">
        <v>30</v>
      </c>
      <c r="N23" s="3">
        <v>12</v>
      </c>
      <c r="O23" s="3">
        <v>5</v>
      </c>
      <c r="P23" s="3">
        <v>10</v>
      </c>
      <c r="Q23" s="6">
        <f>(P23-O23)/O23</f>
        <v>1</v>
      </c>
      <c r="R23" s="1">
        <v>532</v>
      </c>
      <c r="S23" s="16">
        <v>2.7027027027027029E-2</v>
      </c>
      <c r="T23" s="1">
        <v>418</v>
      </c>
      <c r="U23" s="3">
        <v>275</v>
      </c>
      <c r="V23" s="3">
        <v>0</v>
      </c>
      <c r="W23" s="5" t="s">
        <v>69</v>
      </c>
      <c r="X23" s="3">
        <v>0</v>
      </c>
      <c r="Y23" s="3">
        <v>1</v>
      </c>
      <c r="Z23" s="1">
        <v>0</v>
      </c>
      <c r="AA23" s="7">
        <f>((R23-T23)/T23)*100</f>
        <v>27.27272727272727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f>P23*R23</f>
        <v>5320</v>
      </c>
      <c r="AH23" s="3">
        <f>P23*T23</f>
        <v>4180</v>
      </c>
      <c r="AI23" s="6">
        <f>AG23/U23</f>
        <v>19.345454545454544</v>
      </c>
      <c r="AJ23" s="6">
        <f>AH23/U23</f>
        <v>15.2</v>
      </c>
      <c r="AK23" s="3">
        <v>1</v>
      </c>
    </row>
    <row r="24" spans="1:37" x14ac:dyDescent="0.3">
      <c r="A24" s="3">
        <v>23</v>
      </c>
      <c r="B24" t="s">
        <v>71</v>
      </c>
      <c r="C24" s="3" t="s">
        <v>59</v>
      </c>
      <c r="D24" s="3">
        <v>5</v>
      </c>
      <c r="E24" s="3">
        <v>0</v>
      </c>
      <c r="F24" s="3">
        <v>9</v>
      </c>
      <c r="G24" s="3">
        <v>12</v>
      </c>
      <c r="H24" s="6">
        <f>(F24+G24)/2</f>
        <v>10.5</v>
      </c>
      <c r="I24" s="3">
        <v>10</v>
      </c>
      <c r="J24" s="3">
        <v>14</v>
      </c>
      <c r="K24" s="6">
        <f>(J24+I24)/2</f>
        <v>12</v>
      </c>
      <c r="L24" s="6">
        <f t="shared" si="0"/>
        <v>126</v>
      </c>
      <c r="M24" s="3">
        <v>55</v>
      </c>
      <c r="N24" s="3">
        <v>3</v>
      </c>
      <c r="O24" s="3">
        <v>3</v>
      </c>
      <c r="P24" s="3">
        <v>8</v>
      </c>
      <c r="Q24" s="6">
        <f>(P24-O24)/O24</f>
        <v>1.6666666666666667</v>
      </c>
      <c r="R24" s="1">
        <v>517</v>
      </c>
      <c r="S24" s="16">
        <v>0</v>
      </c>
      <c r="T24" s="1">
        <v>690</v>
      </c>
      <c r="U24" s="3">
        <v>350</v>
      </c>
      <c r="V24" s="3">
        <v>0</v>
      </c>
      <c r="W24" s="5" t="s">
        <v>72</v>
      </c>
      <c r="X24" s="3">
        <v>0</v>
      </c>
      <c r="Y24" s="3">
        <v>0</v>
      </c>
      <c r="Z24" s="1">
        <v>0</v>
      </c>
      <c r="AA24" s="7">
        <f>((R24-T24)/T24)*100</f>
        <v>-25.072463768115945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f>P24*R24</f>
        <v>4136</v>
      </c>
      <c r="AH24" s="3">
        <f>P24*T24</f>
        <v>5520</v>
      </c>
      <c r="AI24" s="6">
        <f>AG24/U24</f>
        <v>11.817142857142857</v>
      </c>
      <c r="AJ24" s="6">
        <f>AH24/U24</f>
        <v>15.771428571428572</v>
      </c>
      <c r="AK24" s="3">
        <v>0</v>
      </c>
    </row>
    <row r="25" spans="1:37" x14ac:dyDescent="0.3">
      <c r="A25" s="3">
        <v>24</v>
      </c>
      <c r="B25" t="s">
        <v>73</v>
      </c>
      <c r="C25" s="3" t="s">
        <v>59</v>
      </c>
      <c r="D25" s="3">
        <v>5.5</v>
      </c>
      <c r="E25" s="3">
        <v>1</v>
      </c>
      <c r="F25" s="3">
        <v>9</v>
      </c>
      <c r="G25" s="3">
        <v>12</v>
      </c>
      <c r="H25" s="6">
        <f>(F25+G25)/2</f>
        <v>10.5</v>
      </c>
      <c r="I25" s="3">
        <v>10</v>
      </c>
      <c r="J25" s="3">
        <v>14</v>
      </c>
      <c r="K25" s="6">
        <f>(J25+I25)/2</f>
        <v>12</v>
      </c>
      <c r="L25" s="6">
        <f t="shared" si="0"/>
        <v>126</v>
      </c>
      <c r="M25" s="3">
        <v>65</v>
      </c>
      <c r="N25" s="3">
        <v>4</v>
      </c>
      <c r="O25" s="3">
        <v>3</v>
      </c>
      <c r="P25" s="3">
        <v>8</v>
      </c>
      <c r="Q25" s="6">
        <f>(P25-O25)/O25</f>
        <v>1.6666666666666667</v>
      </c>
      <c r="R25" s="1">
        <v>803</v>
      </c>
      <c r="S25" s="16">
        <v>0.55319148936170215</v>
      </c>
      <c r="T25" s="1">
        <v>765</v>
      </c>
      <c r="U25" s="3">
        <v>425</v>
      </c>
      <c r="V25" s="3">
        <v>0</v>
      </c>
      <c r="W25" s="5" t="s">
        <v>72</v>
      </c>
      <c r="X25" s="3">
        <v>0</v>
      </c>
      <c r="Y25" s="3">
        <v>0</v>
      </c>
      <c r="Z25" s="1">
        <v>0</v>
      </c>
      <c r="AA25" s="7">
        <f>((R25-T25)/T25)*100</f>
        <v>4.9673202614379086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f>P25*R25</f>
        <v>6424</v>
      </c>
      <c r="AH25" s="3">
        <f>P25*T25</f>
        <v>6120</v>
      </c>
      <c r="AI25" s="6">
        <f>AG25/U25</f>
        <v>15.115294117647059</v>
      </c>
      <c r="AJ25" s="6">
        <f>AH25/U25</f>
        <v>14.4</v>
      </c>
      <c r="AK25" s="3">
        <v>0</v>
      </c>
    </row>
    <row r="26" spans="1:37" x14ac:dyDescent="0.3">
      <c r="A26" s="3">
        <v>25</v>
      </c>
      <c r="B26" t="s">
        <v>74</v>
      </c>
      <c r="C26" s="3" t="s">
        <v>59</v>
      </c>
      <c r="D26" s="3">
        <v>6</v>
      </c>
      <c r="E26" s="3">
        <v>0</v>
      </c>
      <c r="F26" s="3">
        <v>15</v>
      </c>
      <c r="G26" s="3">
        <v>14</v>
      </c>
      <c r="H26" s="6">
        <f>(F26+G26)/2</f>
        <v>14.5</v>
      </c>
      <c r="I26" s="3">
        <v>18</v>
      </c>
      <c r="J26" s="3">
        <v>22</v>
      </c>
      <c r="K26" s="6">
        <f>(J26+I26)/2</f>
        <v>20</v>
      </c>
      <c r="L26" s="6">
        <f t="shared" si="0"/>
        <v>290</v>
      </c>
      <c r="M26" s="3">
        <v>90</v>
      </c>
      <c r="N26" s="3">
        <v>7</v>
      </c>
      <c r="O26" s="3">
        <v>2</v>
      </c>
      <c r="P26" s="3">
        <v>4</v>
      </c>
      <c r="Q26" s="6">
        <f>(P26-O26)/O26</f>
        <v>1</v>
      </c>
      <c r="R26" s="1">
        <v>1806</v>
      </c>
      <c r="S26" s="16">
        <v>0</v>
      </c>
      <c r="T26" s="1">
        <v>1548</v>
      </c>
      <c r="U26" s="3">
        <v>850</v>
      </c>
      <c r="V26" s="3">
        <v>0</v>
      </c>
      <c r="W26" s="5" t="s">
        <v>75</v>
      </c>
      <c r="X26" s="3">
        <v>0</v>
      </c>
      <c r="Y26" s="3">
        <v>0</v>
      </c>
      <c r="Z26" s="1">
        <v>0.2</v>
      </c>
      <c r="AA26" s="7">
        <f>((R26-T26)/T26)*100</f>
        <v>16.666666666666664</v>
      </c>
      <c r="AB26" s="3">
        <v>0</v>
      </c>
      <c r="AC26" s="3">
        <v>0</v>
      </c>
      <c r="AD26" s="3">
        <v>0</v>
      </c>
      <c r="AE26" s="3">
        <v>0.2</v>
      </c>
      <c r="AF26" s="3">
        <v>0</v>
      </c>
      <c r="AG26" s="3">
        <f>P26*R26</f>
        <v>7224</v>
      </c>
      <c r="AH26" s="3">
        <f>P26*T26</f>
        <v>6192</v>
      </c>
      <c r="AI26" s="6">
        <f>AG26/U26</f>
        <v>8.498823529411764</v>
      </c>
      <c r="AJ26" s="6">
        <f>AH26/U26</f>
        <v>7.2847058823529416</v>
      </c>
      <c r="AK26" s="3">
        <v>0</v>
      </c>
    </row>
    <row r="27" spans="1:37" x14ac:dyDescent="0.3">
      <c r="A27" s="3">
        <v>26</v>
      </c>
      <c r="B27" t="s">
        <v>76</v>
      </c>
      <c r="C27" s="3" t="s">
        <v>59</v>
      </c>
      <c r="D27" s="3">
        <v>6.5</v>
      </c>
      <c r="E27" s="3">
        <v>1</v>
      </c>
      <c r="F27" s="3">
        <v>15</v>
      </c>
      <c r="G27" s="3">
        <v>14</v>
      </c>
      <c r="H27" s="6">
        <f>(F27+G27)/2</f>
        <v>14.5</v>
      </c>
      <c r="I27" s="3">
        <v>18</v>
      </c>
      <c r="J27" s="3">
        <v>22</v>
      </c>
      <c r="K27" s="6">
        <f>(J27+I27)/2</f>
        <v>20</v>
      </c>
      <c r="L27" s="6">
        <f t="shared" si="0"/>
        <v>290</v>
      </c>
      <c r="M27" s="3">
        <v>110</v>
      </c>
      <c r="N27" s="3">
        <v>9</v>
      </c>
      <c r="O27" s="3">
        <v>2</v>
      </c>
      <c r="P27" s="3">
        <v>4</v>
      </c>
      <c r="Q27" s="6">
        <f>(P27-O27)/O27</f>
        <v>1</v>
      </c>
      <c r="R27" s="1">
        <v>2030</v>
      </c>
      <c r="S27" s="16">
        <v>0.12403100775193798</v>
      </c>
      <c r="T27" s="1">
        <v>2030</v>
      </c>
      <c r="U27" s="3">
        <v>950</v>
      </c>
      <c r="V27" s="3">
        <v>0</v>
      </c>
      <c r="W27" s="5" t="s">
        <v>75</v>
      </c>
      <c r="X27" s="3">
        <v>0</v>
      </c>
      <c r="Y27" s="3">
        <v>0</v>
      </c>
      <c r="Z27" s="1">
        <v>0.2</v>
      </c>
      <c r="AA27" s="7">
        <f>((R27-T27)/T27)*100</f>
        <v>0</v>
      </c>
      <c r="AB27" s="3">
        <v>0</v>
      </c>
      <c r="AC27" s="3">
        <v>0</v>
      </c>
      <c r="AD27" s="3">
        <v>0</v>
      </c>
      <c r="AE27" s="3">
        <v>0.2</v>
      </c>
      <c r="AF27" s="3">
        <v>0</v>
      </c>
      <c r="AG27" s="3">
        <f>P27*R27</f>
        <v>8120</v>
      </c>
      <c r="AH27" s="3">
        <f>P27*T27</f>
        <v>8120</v>
      </c>
      <c r="AI27" s="6">
        <f>AG27/U27</f>
        <v>8.5473684210526315</v>
      </c>
      <c r="AJ27" s="6">
        <f>AH27/U27</f>
        <v>8.5473684210526315</v>
      </c>
      <c r="AK27" s="3">
        <v>0</v>
      </c>
    </row>
    <row r="28" spans="1:37" x14ac:dyDescent="0.3">
      <c r="A28" s="3">
        <v>27</v>
      </c>
      <c r="B28" t="s">
        <v>77</v>
      </c>
      <c r="C28" s="3" t="s">
        <v>59</v>
      </c>
      <c r="D28" s="3">
        <v>7</v>
      </c>
      <c r="E28" s="3">
        <v>0</v>
      </c>
      <c r="F28" s="3">
        <v>18</v>
      </c>
      <c r="G28" s="3">
        <v>18</v>
      </c>
      <c r="H28" s="6">
        <f>(F28+G28)/2</f>
        <v>18</v>
      </c>
      <c r="I28" s="3">
        <v>40</v>
      </c>
      <c r="J28" s="3">
        <v>50</v>
      </c>
      <c r="K28" s="6">
        <f>(J28+I28)/2</f>
        <v>45</v>
      </c>
      <c r="L28" s="6">
        <f t="shared" si="0"/>
        <v>810</v>
      </c>
      <c r="M28" s="3">
        <v>180</v>
      </c>
      <c r="N28" s="3">
        <v>10</v>
      </c>
      <c r="O28" s="3">
        <v>1</v>
      </c>
      <c r="P28" s="3">
        <v>2</v>
      </c>
      <c r="Q28" s="6">
        <f>(P28-O28)/O28</f>
        <v>1</v>
      </c>
      <c r="R28" s="1">
        <v>4872</v>
      </c>
      <c r="S28" s="16">
        <v>0</v>
      </c>
      <c r="T28" s="1">
        <v>3654</v>
      </c>
      <c r="U28" s="3">
        <v>2400</v>
      </c>
      <c r="V28" s="3">
        <v>1</v>
      </c>
      <c r="W28" s="5" t="s">
        <v>78</v>
      </c>
      <c r="X28" s="3">
        <v>0</v>
      </c>
      <c r="Y28" s="3">
        <v>1</v>
      </c>
      <c r="Z28" s="1">
        <v>0</v>
      </c>
      <c r="AA28" s="7">
        <f>((R28-T28)/T28)*100</f>
        <v>33.333333333333329</v>
      </c>
      <c r="AB28" s="3">
        <v>0.3</v>
      </c>
      <c r="AC28" s="3">
        <v>0</v>
      </c>
      <c r="AD28" s="3">
        <v>0.5</v>
      </c>
      <c r="AE28" s="3">
        <v>0.5</v>
      </c>
      <c r="AF28" s="3">
        <v>0</v>
      </c>
      <c r="AG28" s="3">
        <f>P28*R28</f>
        <v>9744</v>
      </c>
      <c r="AH28" s="3">
        <f>P28*T28</f>
        <v>7308</v>
      </c>
      <c r="AI28" s="6">
        <f>AG28/U28</f>
        <v>4.0599999999999996</v>
      </c>
      <c r="AJ28" s="6">
        <f>AH28/U28</f>
        <v>3.0449999999999999</v>
      </c>
      <c r="AK28" s="3">
        <v>1</v>
      </c>
    </row>
    <row r="29" spans="1:37" x14ac:dyDescent="0.3">
      <c r="A29" s="3">
        <v>28</v>
      </c>
      <c r="B29" t="s">
        <v>79</v>
      </c>
      <c r="C29" s="3" t="s">
        <v>59</v>
      </c>
      <c r="D29" s="3">
        <v>7.5</v>
      </c>
      <c r="E29" s="3">
        <v>1</v>
      </c>
      <c r="F29" s="3">
        <v>27</v>
      </c>
      <c r="G29" s="3">
        <v>27</v>
      </c>
      <c r="H29" s="6">
        <f>(F29+G29)/2</f>
        <v>27</v>
      </c>
      <c r="I29" s="3">
        <v>40</v>
      </c>
      <c r="J29" s="3">
        <v>50</v>
      </c>
      <c r="K29" s="6">
        <f>(J29+I29)/2</f>
        <v>45</v>
      </c>
      <c r="L29" s="6">
        <f t="shared" si="0"/>
        <v>1215</v>
      </c>
      <c r="M29" s="3">
        <v>250</v>
      </c>
      <c r="N29" s="3">
        <v>16</v>
      </c>
      <c r="O29" s="3">
        <v>1</v>
      </c>
      <c r="P29" s="3">
        <v>2</v>
      </c>
      <c r="Q29" s="6">
        <f>(P29-O29)/O29</f>
        <v>1</v>
      </c>
      <c r="R29" s="1">
        <v>8613</v>
      </c>
      <c r="S29" s="16">
        <v>0.7678571428571429</v>
      </c>
      <c r="T29" s="1">
        <v>6220</v>
      </c>
      <c r="U29" s="3">
        <v>4000</v>
      </c>
      <c r="V29" s="3">
        <v>2</v>
      </c>
      <c r="W29" s="5" t="s">
        <v>80</v>
      </c>
      <c r="X29" s="3">
        <v>0</v>
      </c>
      <c r="Y29" s="3">
        <v>1</v>
      </c>
      <c r="Z29" s="1">
        <v>0</v>
      </c>
      <c r="AA29" s="7">
        <f>((R29-T29)/T29)*100</f>
        <v>38.472668810289392</v>
      </c>
      <c r="AB29" s="3">
        <v>0.3</v>
      </c>
      <c r="AC29" s="3">
        <v>0</v>
      </c>
      <c r="AD29" s="3">
        <v>0.75</v>
      </c>
      <c r="AE29" s="3">
        <v>0.75</v>
      </c>
      <c r="AF29" s="3">
        <v>0</v>
      </c>
      <c r="AG29" s="3">
        <f>P29*R29</f>
        <v>17226</v>
      </c>
      <c r="AH29" s="3">
        <f>P29*T29</f>
        <v>12440</v>
      </c>
      <c r="AI29" s="6">
        <f>AG29/U29</f>
        <v>4.3064999999999998</v>
      </c>
      <c r="AJ29" s="6">
        <f>AH29/U29</f>
        <v>3.11</v>
      </c>
      <c r="AK29" s="3">
        <v>1</v>
      </c>
    </row>
    <row r="30" spans="1:37" x14ac:dyDescent="0.3">
      <c r="A30" s="3">
        <v>29</v>
      </c>
      <c r="B30" t="s">
        <v>81</v>
      </c>
      <c r="C30" s="3" t="s">
        <v>82</v>
      </c>
      <c r="D30" s="3">
        <v>1</v>
      </c>
      <c r="E30" s="3">
        <v>0</v>
      </c>
      <c r="F30" s="3">
        <v>3</v>
      </c>
      <c r="G30" s="3">
        <v>3</v>
      </c>
      <c r="H30" s="6">
        <f>(F30+G30)/2</f>
        <v>3</v>
      </c>
      <c r="I30" s="3">
        <v>1</v>
      </c>
      <c r="J30" s="3">
        <v>2</v>
      </c>
      <c r="K30" s="6">
        <f>(J30+I30)/2</f>
        <v>1.5</v>
      </c>
      <c r="L30" s="6">
        <f t="shared" si="0"/>
        <v>4.5</v>
      </c>
      <c r="M30" s="3">
        <v>4</v>
      </c>
      <c r="N30" s="3">
        <v>4</v>
      </c>
      <c r="O30" s="3">
        <v>16</v>
      </c>
      <c r="P30" s="3">
        <v>32</v>
      </c>
      <c r="Q30" s="6">
        <f>(P30-O30)/O30</f>
        <v>1</v>
      </c>
      <c r="R30" s="1">
        <v>44</v>
      </c>
      <c r="S30" s="16">
        <v>0</v>
      </c>
      <c r="T30" s="1">
        <v>55</v>
      </c>
      <c r="U30" s="3">
        <v>30</v>
      </c>
      <c r="V30" s="3">
        <v>0</v>
      </c>
      <c r="W30" s="5" t="s">
        <v>45</v>
      </c>
      <c r="X30" s="3">
        <v>0</v>
      </c>
      <c r="Y30" s="3">
        <v>0</v>
      </c>
      <c r="Z30" s="1">
        <v>0</v>
      </c>
      <c r="AA30" s="7">
        <f>((R30-T30)/T30)*100</f>
        <v>-20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f>P30*R30</f>
        <v>1408</v>
      </c>
      <c r="AH30" s="3">
        <f>P30*T30</f>
        <v>1760</v>
      </c>
      <c r="AI30" s="6">
        <f>AG30/U30</f>
        <v>46.93333333333333</v>
      </c>
      <c r="AJ30" s="6">
        <f>AH30/U30</f>
        <v>58.666666666666664</v>
      </c>
      <c r="AK30" s="3">
        <v>0</v>
      </c>
    </row>
    <row r="31" spans="1:37" x14ac:dyDescent="0.3">
      <c r="A31" s="3">
        <v>30</v>
      </c>
      <c r="B31" t="s">
        <v>83</v>
      </c>
      <c r="C31" s="3" t="s">
        <v>82</v>
      </c>
      <c r="D31" s="3">
        <v>1.5</v>
      </c>
      <c r="E31" s="3">
        <v>1</v>
      </c>
      <c r="F31" s="3">
        <v>4</v>
      </c>
      <c r="G31" s="3">
        <v>4</v>
      </c>
      <c r="H31" s="6">
        <f>(F31+G31)/2</f>
        <v>4</v>
      </c>
      <c r="I31" s="3">
        <v>1</v>
      </c>
      <c r="J31" s="3">
        <v>2</v>
      </c>
      <c r="K31" s="6">
        <f>(J31+I31)/2</f>
        <v>1.5</v>
      </c>
      <c r="L31" s="6">
        <f t="shared" si="0"/>
        <v>6</v>
      </c>
      <c r="M31" s="3">
        <v>4</v>
      </c>
      <c r="N31" s="3">
        <v>5</v>
      </c>
      <c r="O31" s="3">
        <v>16</v>
      </c>
      <c r="P31" s="3">
        <v>32</v>
      </c>
      <c r="Q31" s="6">
        <f>(P31-O31)/O31</f>
        <v>1</v>
      </c>
      <c r="R31" s="1">
        <v>66</v>
      </c>
      <c r="S31" s="16">
        <v>0.5</v>
      </c>
      <c r="T31" s="1">
        <v>55</v>
      </c>
      <c r="U31" s="3">
        <v>40</v>
      </c>
      <c r="V31" s="3">
        <v>0</v>
      </c>
      <c r="W31" s="5" t="s">
        <v>84</v>
      </c>
      <c r="X31" s="3">
        <v>1</v>
      </c>
      <c r="Y31" s="3">
        <v>0</v>
      </c>
      <c r="Z31" s="1">
        <v>0</v>
      </c>
      <c r="AA31" s="7">
        <f>((R31-T31)/T31)*100</f>
        <v>20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f>P31*R31</f>
        <v>2112</v>
      </c>
      <c r="AH31" s="3">
        <f>P31*T31</f>
        <v>1760</v>
      </c>
      <c r="AI31" s="6">
        <f>AG31/U31</f>
        <v>52.8</v>
      </c>
      <c r="AJ31" s="6">
        <f>AH31/U31</f>
        <v>44</v>
      </c>
      <c r="AK31" s="3">
        <v>1</v>
      </c>
    </row>
    <row r="32" spans="1:37" x14ac:dyDescent="0.3">
      <c r="A32" s="3">
        <v>31</v>
      </c>
      <c r="B32" t="s">
        <v>85</v>
      </c>
      <c r="C32" s="3" t="s">
        <v>82</v>
      </c>
      <c r="D32" s="3">
        <v>2</v>
      </c>
      <c r="E32" s="3">
        <v>0</v>
      </c>
      <c r="F32" s="3">
        <v>6</v>
      </c>
      <c r="G32" s="3">
        <v>6</v>
      </c>
      <c r="H32" s="6">
        <f>(F32+G32)/2</f>
        <v>6</v>
      </c>
      <c r="I32" s="3">
        <v>2</v>
      </c>
      <c r="J32" s="3">
        <v>3</v>
      </c>
      <c r="K32" s="6">
        <f>(J32+I32)/2</f>
        <v>2.5</v>
      </c>
      <c r="L32" s="6">
        <f t="shared" si="0"/>
        <v>15</v>
      </c>
      <c r="M32" s="3">
        <v>16</v>
      </c>
      <c r="N32" s="3">
        <v>6</v>
      </c>
      <c r="O32" s="3">
        <v>9</v>
      </c>
      <c r="P32" s="3">
        <v>22</v>
      </c>
      <c r="Q32" s="6">
        <f>(P32-O32)/O32</f>
        <v>1.4444444444444444</v>
      </c>
      <c r="R32" s="1">
        <v>165</v>
      </c>
      <c r="S32" s="16">
        <v>0</v>
      </c>
      <c r="T32" s="1">
        <v>150</v>
      </c>
      <c r="U32" s="3">
        <v>130</v>
      </c>
      <c r="V32" s="3">
        <v>0</v>
      </c>
      <c r="W32" s="5" t="s">
        <v>86</v>
      </c>
      <c r="X32" s="3">
        <v>0</v>
      </c>
      <c r="Y32" s="3">
        <v>1</v>
      </c>
      <c r="Z32" s="1">
        <v>0</v>
      </c>
      <c r="AA32" s="7">
        <f>((R32-T32)/T32)*100</f>
        <v>10</v>
      </c>
      <c r="AB32" s="3">
        <v>0</v>
      </c>
      <c r="AC32" s="3">
        <v>0</v>
      </c>
      <c r="AD32" s="3">
        <v>0.1</v>
      </c>
      <c r="AE32" s="3">
        <v>0</v>
      </c>
      <c r="AF32" s="3">
        <v>0</v>
      </c>
      <c r="AG32" s="3">
        <f>P32*R32</f>
        <v>3630</v>
      </c>
      <c r="AH32" s="3">
        <f>P32*T32</f>
        <v>3300</v>
      </c>
      <c r="AI32" s="6">
        <f>AG32/U32</f>
        <v>27.923076923076923</v>
      </c>
      <c r="AJ32" s="6">
        <f>AH32/U32</f>
        <v>25.384615384615383</v>
      </c>
      <c r="AK32" s="3">
        <v>1</v>
      </c>
    </row>
    <row r="33" spans="1:37" x14ac:dyDescent="0.3">
      <c r="A33" s="3">
        <v>32</v>
      </c>
      <c r="B33" t="s">
        <v>87</v>
      </c>
      <c r="C33" s="3" t="s">
        <v>82</v>
      </c>
      <c r="D33" s="3">
        <v>2.5</v>
      </c>
      <c r="E33" s="3">
        <v>1</v>
      </c>
      <c r="F33" s="3">
        <v>7</v>
      </c>
      <c r="G33" s="3">
        <v>7</v>
      </c>
      <c r="H33" s="6">
        <f>(F33+G33)/2</f>
        <v>7</v>
      </c>
      <c r="I33" s="3">
        <v>2</v>
      </c>
      <c r="J33" s="3">
        <v>3</v>
      </c>
      <c r="K33" s="6">
        <f>(J33+I33)/2</f>
        <v>2.5</v>
      </c>
      <c r="L33" s="6">
        <f t="shared" si="0"/>
        <v>17.5</v>
      </c>
      <c r="M33" s="3">
        <v>16</v>
      </c>
      <c r="N33" s="3">
        <v>9</v>
      </c>
      <c r="O33" s="3">
        <v>9</v>
      </c>
      <c r="P33" s="3">
        <v>22</v>
      </c>
      <c r="Q33" s="6">
        <f>(P33-O33)/O33</f>
        <v>1.4444444444444444</v>
      </c>
      <c r="R33" s="1">
        <v>201</v>
      </c>
      <c r="S33" s="16">
        <v>0.21818181818181817</v>
      </c>
      <c r="T33" s="1">
        <v>155</v>
      </c>
      <c r="U33" s="3">
        <v>160</v>
      </c>
      <c r="V33" s="3">
        <v>0</v>
      </c>
      <c r="W33" s="5" t="s">
        <v>86</v>
      </c>
      <c r="X33" s="3">
        <v>0</v>
      </c>
      <c r="Y33" s="3">
        <v>1</v>
      </c>
      <c r="Z33" s="1">
        <v>0</v>
      </c>
      <c r="AA33" s="7">
        <f>((R33-T33)/T33)*100</f>
        <v>29.677419354838708</v>
      </c>
      <c r="AB33" s="3">
        <v>0</v>
      </c>
      <c r="AC33" s="3">
        <v>0</v>
      </c>
      <c r="AD33" s="3">
        <v>0.1</v>
      </c>
      <c r="AE33" s="3">
        <v>0</v>
      </c>
      <c r="AF33" s="3">
        <v>0</v>
      </c>
      <c r="AG33" s="3">
        <f>P33*R33</f>
        <v>4422</v>
      </c>
      <c r="AH33" s="3">
        <f>P33*T33</f>
        <v>3410</v>
      </c>
      <c r="AI33" s="6">
        <f>AG33/U33</f>
        <v>27.637499999999999</v>
      </c>
      <c r="AJ33" s="6">
        <f>AH33/U33</f>
        <v>21.3125</v>
      </c>
      <c r="AK33" s="3">
        <v>1</v>
      </c>
    </row>
    <row r="34" spans="1:37" x14ac:dyDescent="0.3">
      <c r="A34" s="3">
        <v>33</v>
      </c>
      <c r="B34" t="s">
        <v>88</v>
      </c>
      <c r="C34" s="3" t="s">
        <v>82</v>
      </c>
      <c r="D34" s="3">
        <v>3</v>
      </c>
      <c r="E34" s="3">
        <v>0</v>
      </c>
      <c r="F34" s="3">
        <v>7</v>
      </c>
      <c r="G34" s="3">
        <v>10</v>
      </c>
      <c r="H34" s="6">
        <f>(F34+G34)/2</f>
        <v>8.5</v>
      </c>
      <c r="I34" s="3">
        <v>4</v>
      </c>
      <c r="J34" s="3">
        <v>5</v>
      </c>
      <c r="K34" s="6">
        <f>(J34+I34)/2</f>
        <v>4.5</v>
      </c>
      <c r="L34" s="6">
        <f t="shared" si="0"/>
        <v>38.25</v>
      </c>
      <c r="M34" s="3">
        <v>30</v>
      </c>
      <c r="N34" s="3">
        <v>3</v>
      </c>
      <c r="O34" s="3">
        <v>6</v>
      </c>
      <c r="P34" s="3">
        <v>12</v>
      </c>
      <c r="Q34" s="6">
        <f>(P34-O34)/O34</f>
        <v>1</v>
      </c>
      <c r="R34" s="1">
        <v>250</v>
      </c>
      <c r="S34" s="16">
        <v>0</v>
      </c>
      <c r="T34" s="1">
        <v>339</v>
      </c>
      <c r="U34" s="3">
        <v>150</v>
      </c>
      <c r="V34" s="3">
        <v>0</v>
      </c>
      <c r="W34" s="5" t="s">
        <v>89</v>
      </c>
      <c r="X34" s="3">
        <v>0</v>
      </c>
      <c r="Y34" s="3">
        <v>0</v>
      </c>
      <c r="Z34" s="1">
        <v>0</v>
      </c>
      <c r="AA34" s="7">
        <f>((R34-T34)/T34)*100</f>
        <v>-26.253687315634217</v>
      </c>
      <c r="AB34" s="3">
        <v>0</v>
      </c>
      <c r="AC34" s="3">
        <v>0</v>
      </c>
      <c r="AD34" s="3">
        <v>0.1</v>
      </c>
      <c r="AE34" s="3">
        <v>0.4</v>
      </c>
      <c r="AF34" s="3">
        <v>0</v>
      </c>
      <c r="AG34" s="3">
        <f>P34*R34</f>
        <v>3000</v>
      </c>
      <c r="AH34" s="3">
        <f>P34*T34</f>
        <v>4068</v>
      </c>
      <c r="AI34" s="6">
        <f>AG34/U34</f>
        <v>20</v>
      </c>
      <c r="AJ34" s="6">
        <f>AH34/U34</f>
        <v>27.12</v>
      </c>
      <c r="AK34" s="3">
        <v>0</v>
      </c>
    </row>
    <row r="35" spans="1:37" x14ac:dyDescent="0.3">
      <c r="A35" s="3">
        <v>34</v>
      </c>
      <c r="B35" t="s">
        <v>90</v>
      </c>
      <c r="C35" s="3" t="s">
        <v>82</v>
      </c>
      <c r="D35" s="3">
        <v>3.5</v>
      </c>
      <c r="E35" s="3">
        <v>1</v>
      </c>
      <c r="F35" s="3">
        <v>9</v>
      </c>
      <c r="G35" s="3">
        <v>10</v>
      </c>
      <c r="H35" s="6">
        <f>(F35+G35)/2</f>
        <v>9.5</v>
      </c>
      <c r="I35" s="3">
        <v>4</v>
      </c>
      <c r="J35" s="3">
        <v>5</v>
      </c>
      <c r="K35" s="6">
        <f>(J35+I35)/2</f>
        <v>4.5</v>
      </c>
      <c r="L35" s="6">
        <f t="shared" si="0"/>
        <v>42.75</v>
      </c>
      <c r="M35" s="3">
        <v>35</v>
      </c>
      <c r="N35" s="3">
        <v>5</v>
      </c>
      <c r="O35" s="3">
        <v>6</v>
      </c>
      <c r="P35" s="3">
        <v>12</v>
      </c>
      <c r="Q35" s="6">
        <f>(P35-O35)/O35</f>
        <v>1</v>
      </c>
      <c r="R35" s="1">
        <v>412</v>
      </c>
      <c r="S35" s="16">
        <v>0.64800000000000002</v>
      </c>
      <c r="T35" s="1">
        <v>412</v>
      </c>
      <c r="U35" s="3">
        <v>200</v>
      </c>
      <c r="V35" s="3">
        <v>0</v>
      </c>
      <c r="W35" s="5" t="s">
        <v>91</v>
      </c>
      <c r="X35" s="3">
        <v>0</v>
      </c>
      <c r="Y35" s="3">
        <v>0</v>
      </c>
      <c r="Z35" s="1">
        <v>0</v>
      </c>
      <c r="AA35" s="7">
        <f>((R35-T35)/T35)*100</f>
        <v>0</v>
      </c>
      <c r="AB35" s="3">
        <v>0</v>
      </c>
      <c r="AC35" s="3">
        <v>0</v>
      </c>
      <c r="AD35" s="3">
        <v>0.1</v>
      </c>
      <c r="AE35" s="3">
        <v>0.8</v>
      </c>
      <c r="AF35" s="3">
        <v>0</v>
      </c>
      <c r="AG35" s="3">
        <f>P35*R35</f>
        <v>4944</v>
      </c>
      <c r="AH35" s="3">
        <f>P35*T35</f>
        <v>4944</v>
      </c>
      <c r="AI35" s="6">
        <f>AG35/U35</f>
        <v>24.72</v>
      </c>
      <c r="AJ35" s="6">
        <f>AH35/U35</f>
        <v>24.72</v>
      </c>
      <c r="AK35" s="3">
        <v>0</v>
      </c>
    </row>
    <row r="36" spans="1:37" x14ac:dyDescent="0.3">
      <c r="A36" s="3">
        <v>35</v>
      </c>
      <c r="B36" t="s">
        <v>92</v>
      </c>
      <c r="C36" s="3" t="s">
        <v>82</v>
      </c>
      <c r="D36" s="3">
        <v>4</v>
      </c>
      <c r="E36" s="3">
        <v>0</v>
      </c>
      <c r="F36" s="3">
        <v>11</v>
      </c>
      <c r="G36" s="3">
        <v>8</v>
      </c>
      <c r="H36" s="6">
        <f>(F36+G36)/2</f>
        <v>9.5</v>
      </c>
      <c r="I36" s="3">
        <v>7</v>
      </c>
      <c r="J36" s="3">
        <v>9</v>
      </c>
      <c r="K36" s="6">
        <f>(J36+I36)/2</f>
        <v>8</v>
      </c>
      <c r="L36" s="6">
        <f t="shared" si="0"/>
        <v>76</v>
      </c>
      <c r="M36" s="3">
        <v>25</v>
      </c>
      <c r="N36" s="3">
        <v>5</v>
      </c>
      <c r="O36" s="3">
        <v>4</v>
      </c>
      <c r="P36" s="3">
        <v>8</v>
      </c>
      <c r="Q36" s="6">
        <f>(P36-O36)/O36</f>
        <v>1</v>
      </c>
      <c r="R36" s="1">
        <v>570</v>
      </c>
      <c r="S36" s="16">
        <v>0</v>
      </c>
      <c r="T36" s="1">
        <v>418</v>
      </c>
      <c r="U36" s="3">
        <v>350</v>
      </c>
      <c r="V36" s="3">
        <v>0</v>
      </c>
      <c r="W36" s="5" t="s">
        <v>93</v>
      </c>
      <c r="X36" s="3">
        <v>1</v>
      </c>
      <c r="Y36" s="3">
        <v>0</v>
      </c>
      <c r="Z36" s="1">
        <v>0</v>
      </c>
      <c r="AA36" s="7">
        <f>((R36-T36)/T36)*100</f>
        <v>36.363636363636367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f>P36*R36</f>
        <v>4560</v>
      </c>
      <c r="AH36" s="3">
        <f>P36*T36</f>
        <v>3344</v>
      </c>
      <c r="AI36" s="6">
        <f>AG36/U36</f>
        <v>13.028571428571428</v>
      </c>
      <c r="AJ36" s="6">
        <f>AH36/U36</f>
        <v>9.5542857142857152</v>
      </c>
      <c r="AK36" s="3">
        <v>1</v>
      </c>
    </row>
    <row r="37" spans="1:37" x14ac:dyDescent="0.3">
      <c r="A37" s="3">
        <v>36</v>
      </c>
      <c r="B37" t="s">
        <v>94</v>
      </c>
      <c r="C37" s="3" t="s">
        <v>82</v>
      </c>
      <c r="D37" s="3">
        <v>4.5</v>
      </c>
      <c r="E37" s="3">
        <v>1</v>
      </c>
      <c r="F37" s="3">
        <v>12</v>
      </c>
      <c r="G37" s="3">
        <v>9</v>
      </c>
      <c r="H37" s="6">
        <f>(F37+G37)/2</f>
        <v>10.5</v>
      </c>
      <c r="I37" s="3">
        <v>7</v>
      </c>
      <c r="J37" s="3">
        <v>9</v>
      </c>
      <c r="K37" s="6">
        <f>(J37+I37)/2</f>
        <v>8</v>
      </c>
      <c r="L37" s="6">
        <f t="shared" si="0"/>
        <v>84</v>
      </c>
      <c r="M37" s="3">
        <v>30</v>
      </c>
      <c r="N37" s="3">
        <v>7</v>
      </c>
      <c r="O37" s="3">
        <v>4</v>
      </c>
      <c r="P37" s="3">
        <v>8</v>
      </c>
      <c r="Q37" s="6">
        <f>(P37-O37)/O37</f>
        <v>1</v>
      </c>
      <c r="R37" s="1">
        <v>680</v>
      </c>
      <c r="S37" s="16">
        <v>0.19298245614035087</v>
      </c>
      <c r="T37" s="1">
        <v>467</v>
      </c>
      <c r="U37" s="3">
        <v>450</v>
      </c>
      <c r="V37" s="3">
        <v>0</v>
      </c>
      <c r="W37" s="5" t="s">
        <v>93</v>
      </c>
      <c r="X37" s="3">
        <v>1</v>
      </c>
      <c r="Y37" s="3">
        <v>0</v>
      </c>
      <c r="Z37" s="1">
        <v>0</v>
      </c>
      <c r="AA37" s="7">
        <f>((R37-T37)/T37)*100</f>
        <v>45.610278372591004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f>P37*R37</f>
        <v>5440</v>
      </c>
      <c r="AH37" s="3">
        <f>P37*T37</f>
        <v>3736</v>
      </c>
      <c r="AI37" s="6">
        <f>AG37/U37</f>
        <v>12.088888888888889</v>
      </c>
      <c r="AJ37" s="6">
        <f>AH37/U37</f>
        <v>8.3022222222222215</v>
      </c>
      <c r="AK37" s="3">
        <v>1</v>
      </c>
    </row>
    <row r="38" spans="1:37" x14ac:dyDescent="0.3">
      <c r="A38" s="3">
        <v>37</v>
      </c>
      <c r="B38" t="s">
        <v>95</v>
      </c>
      <c r="C38" s="3" t="s">
        <v>82</v>
      </c>
      <c r="D38" s="3">
        <v>5</v>
      </c>
      <c r="E38" s="3">
        <v>0</v>
      </c>
      <c r="F38" s="3">
        <v>12</v>
      </c>
      <c r="G38" s="3">
        <v>12</v>
      </c>
      <c r="H38" s="6">
        <f>(F38+G38)/2</f>
        <v>12</v>
      </c>
      <c r="I38" s="3">
        <v>13</v>
      </c>
      <c r="J38" s="3">
        <v>16</v>
      </c>
      <c r="K38" s="6">
        <f>(J38+I38)/2</f>
        <v>14.5</v>
      </c>
      <c r="L38" s="6">
        <f t="shared" si="0"/>
        <v>174</v>
      </c>
      <c r="M38" s="3">
        <v>40</v>
      </c>
      <c r="N38" s="3">
        <v>7</v>
      </c>
      <c r="O38" s="3">
        <v>3</v>
      </c>
      <c r="P38" s="3">
        <v>6</v>
      </c>
      <c r="Q38" s="6">
        <f>(P38-O38)/O38</f>
        <v>1</v>
      </c>
      <c r="R38" s="1">
        <v>884</v>
      </c>
      <c r="S38" s="16">
        <v>0</v>
      </c>
      <c r="T38" s="1">
        <v>680</v>
      </c>
      <c r="U38" s="3">
        <v>550</v>
      </c>
      <c r="V38" s="3">
        <v>0</v>
      </c>
      <c r="W38" s="5" t="s">
        <v>96</v>
      </c>
      <c r="X38" s="3">
        <v>0</v>
      </c>
      <c r="Y38" s="3">
        <v>1</v>
      </c>
      <c r="Z38" s="1">
        <v>0</v>
      </c>
      <c r="AA38" s="7">
        <f>((R38-T38)/T38)*100</f>
        <v>30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f>P38*R38</f>
        <v>5304</v>
      </c>
      <c r="AH38" s="3">
        <f>P38*T38</f>
        <v>4080</v>
      </c>
      <c r="AI38" s="6">
        <f>AG38/U38</f>
        <v>9.6436363636363645</v>
      </c>
      <c r="AJ38" s="6">
        <f>AH38/U38</f>
        <v>7.418181818181818</v>
      </c>
      <c r="AK38" s="3">
        <v>1</v>
      </c>
    </row>
    <row r="39" spans="1:37" x14ac:dyDescent="0.3">
      <c r="A39" s="3">
        <v>38</v>
      </c>
      <c r="B39" t="s">
        <v>97</v>
      </c>
      <c r="C39" s="3" t="s">
        <v>82</v>
      </c>
      <c r="D39" s="3">
        <v>5.5</v>
      </c>
      <c r="E39" s="3">
        <v>1</v>
      </c>
      <c r="F39" s="3">
        <v>12</v>
      </c>
      <c r="G39" s="3">
        <v>12</v>
      </c>
      <c r="H39" s="6">
        <f>(F39+G39)/2</f>
        <v>12</v>
      </c>
      <c r="I39" s="3">
        <v>13</v>
      </c>
      <c r="J39" s="3">
        <v>16</v>
      </c>
      <c r="K39" s="6">
        <f>(J39+I39)/2</f>
        <v>14.5</v>
      </c>
      <c r="L39" s="6">
        <f t="shared" si="0"/>
        <v>174</v>
      </c>
      <c r="M39" s="3">
        <v>40</v>
      </c>
      <c r="N39" s="3">
        <v>11</v>
      </c>
      <c r="O39" s="3">
        <v>3</v>
      </c>
      <c r="P39" s="3">
        <v>6</v>
      </c>
      <c r="Q39" s="6">
        <f>(P39-O39)/O39</f>
        <v>1</v>
      </c>
      <c r="R39" s="1">
        <v>942</v>
      </c>
      <c r="S39" s="16">
        <v>6.561085972850679E-2</v>
      </c>
      <c r="T39" s="1">
        <v>748</v>
      </c>
      <c r="U39" s="3">
        <v>600</v>
      </c>
      <c r="V39" s="3">
        <v>0</v>
      </c>
      <c r="W39" s="5" t="s">
        <v>98</v>
      </c>
      <c r="X39" s="3">
        <v>0</v>
      </c>
      <c r="Y39" s="3">
        <v>1</v>
      </c>
      <c r="Z39" s="1">
        <v>0</v>
      </c>
      <c r="AA39" s="7">
        <f>((R39-T39)/T39)*100</f>
        <v>25.935828877005346</v>
      </c>
      <c r="AB39" s="3">
        <v>0</v>
      </c>
      <c r="AC39" s="3">
        <v>0</v>
      </c>
      <c r="AD39" s="3">
        <v>0</v>
      </c>
      <c r="AE39" s="3">
        <v>0</v>
      </c>
      <c r="AF39" s="3">
        <v>1</v>
      </c>
      <c r="AG39" s="3">
        <f>P39*R39</f>
        <v>5652</v>
      </c>
      <c r="AH39" s="3">
        <f>P39*T39</f>
        <v>4488</v>
      </c>
      <c r="AI39" s="6">
        <f>AG39/U39</f>
        <v>9.42</v>
      </c>
      <c r="AJ39" s="6">
        <f>AH39/U39</f>
        <v>7.48</v>
      </c>
      <c r="AK39" s="3">
        <v>1</v>
      </c>
    </row>
    <row r="40" spans="1:37" x14ac:dyDescent="0.3">
      <c r="A40" s="3">
        <v>39</v>
      </c>
      <c r="B40" t="s">
        <v>99</v>
      </c>
      <c r="C40" s="3" t="s">
        <v>82</v>
      </c>
      <c r="D40" s="3">
        <v>6</v>
      </c>
      <c r="E40" s="3">
        <v>0</v>
      </c>
      <c r="F40" s="3">
        <v>16</v>
      </c>
      <c r="G40" s="3">
        <v>13</v>
      </c>
      <c r="H40" s="6">
        <f>(F40+G40)/2</f>
        <v>14.5</v>
      </c>
      <c r="I40" s="3">
        <v>20</v>
      </c>
      <c r="J40" s="3">
        <v>20</v>
      </c>
      <c r="K40" s="6">
        <f>(J40+I40)/2</f>
        <v>20</v>
      </c>
      <c r="L40" s="6">
        <f t="shared" si="0"/>
        <v>290</v>
      </c>
      <c r="M40" s="3">
        <v>110</v>
      </c>
      <c r="N40" s="3">
        <v>5</v>
      </c>
      <c r="O40" s="3">
        <v>2</v>
      </c>
      <c r="P40" s="3">
        <v>4</v>
      </c>
      <c r="Q40" s="6">
        <f>(P40-O40)/O40</f>
        <v>1</v>
      </c>
      <c r="R40" s="1">
        <v>2016</v>
      </c>
      <c r="S40" s="16">
        <v>0</v>
      </c>
      <c r="T40" s="1">
        <v>2016</v>
      </c>
      <c r="U40" s="3">
        <v>1100</v>
      </c>
      <c r="V40" s="3">
        <v>0</v>
      </c>
      <c r="W40" s="5" t="s">
        <v>100</v>
      </c>
      <c r="X40" s="3">
        <v>0</v>
      </c>
      <c r="Y40" s="3">
        <v>0</v>
      </c>
      <c r="Z40" s="1">
        <v>1</v>
      </c>
      <c r="AA40" s="7">
        <f>((R40-T40)/T40)*100</f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f>P40*R40</f>
        <v>8064</v>
      </c>
      <c r="AH40" s="3">
        <f>P40*T40</f>
        <v>8064</v>
      </c>
      <c r="AI40" s="6">
        <f>AG40/U40</f>
        <v>7.330909090909091</v>
      </c>
      <c r="AJ40" s="6">
        <f>AH40/U40</f>
        <v>7.330909090909091</v>
      </c>
      <c r="AK40" s="3">
        <v>0</v>
      </c>
    </row>
    <row r="41" spans="1:37" x14ac:dyDescent="0.3">
      <c r="A41" s="3">
        <v>40</v>
      </c>
      <c r="B41" t="s">
        <v>101</v>
      </c>
      <c r="C41" s="3" t="s">
        <v>82</v>
      </c>
      <c r="D41" s="3">
        <v>6.5</v>
      </c>
      <c r="E41" s="3">
        <v>1</v>
      </c>
      <c r="F41" s="3">
        <v>16</v>
      </c>
      <c r="G41" s="3">
        <v>13</v>
      </c>
      <c r="H41" s="6">
        <f>(F41+G41)/2</f>
        <v>14.5</v>
      </c>
      <c r="I41" s="3">
        <v>30</v>
      </c>
      <c r="J41" s="3">
        <v>30</v>
      </c>
      <c r="K41" s="6">
        <f>(J41+I41)/2</f>
        <v>30</v>
      </c>
      <c r="L41" s="6">
        <f t="shared" si="0"/>
        <v>435</v>
      </c>
      <c r="M41" s="3">
        <v>110</v>
      </c>
      <c r="N41" s="3">
        <v>7</v>
      </c>
      <c r="O41" s="3">
        <v>2</v>
      </c>
      <c r="P41" s="3">
        <v>4</v>
      </c>
      <c r="Q41" s="6">
        <f>(P41-O41)/O41</f>
        <v>1</v>
      </c>
      <c r="R41" s="1">
        <v>2840</v>
      </c>
      <c r="S41" s="16">
        <v>0.40873015873015872</v>
      </c>
      <c r="T41" s="1">
        <v>2840</v>
      </c>
      <c r="U41" s="3">
        <v>1600</v>
      </c>
      <c r="V41" s="3">
        <v>0</v>
      </c>
      <c r="W41" s="5" t="s">
        <v>100</v>
      </c>
      <c r="X41" s="3">
        <v>0</v>
      </c>
      <c r="Y41" s="3">
        <v>0</v>
      </c>
      <c r="Z41" s="1">
        <v>1</v>
      </c>
      <c r="AA41" s="7">
        <f>((R41-T41)/T41)*100</f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f>P41*R41</f>
        <v>11360</v>
      </c>
      <c r="AH41" s="3">
        <f>P41*T41</f>
        <v>11360</v>
      </c>
      <c r="AI41" s="6">
        <f>AG41/U41</f>
        <v>7.1</v>
      </c>
      <c r="AJ41" s="6">
        <f>AH41/U41</f>
        <v>7.1</v>
      </c>
      <c r="AK41" s="3">
        <v>0</v>
      </c>
    </row>
    <row r="42" spans="1:37" x14ac:dyDescent="0.3">
      <c r="A42" s="3">
        <v>41</v>
      </c>
      <c r="B42" t="s">
        <v>102</v>
      </c>
      <c r="C42" s="3" t="s">
        <v>82</v>
      </c>
      <c r="D42" s="3">
        <v>7</v>
      </c>
      <c r="E42" s="3">
        <v>0</v>
      </c>
      <c r="F42" s="3">
        <v>19</v>
      </c>
      <c r="G42" s="3">
        <v>16</v>
      </c>
      <c r="H42" s="6">
        <f>(F42+G42)/2</f>
        <v>17.5</v>
      </c>
      <c r="I42" s="3">
        <v>40</v>
      </c>
      <c r="J42" s="3">
        <v>60</v>
      </c>
      <c r="K42" s="6">
        <f>(J42+I42)/2</f>
        <v>50</v>
      </c>
      <c r="L42" s="6">
        <f t="shared" si="0"/>
        <v>875</v>
      </c>
      <c r="M42" s="3">
        <v>150</v>
      </c>
      <c r="N42" s="3">
        <v>7</v>
      </c>
      <c r="O42" s="3">
        <v>1</v>
      </c>
      <c r="P42" s="3">
        <v>2</v>
      </c>
      <c r="Q42" s="6">
        <f>(P42-O42)/O42</f>
        <v>1</v>
      </c>
      <c r="R42" s="1">
        <v>3718</v>
      </c>
      <c r="S42" s="16">
        <v>0</v>
      </c>
      <c r="T42" s="1">
        <v>3146</v>
      </c>
      <c r="U42" s="3">
        <v>2000</v>
      </c>
      <c r="V42" s="3">
        <v>1</v>
      </c>
      <c r="W42" s="5" t="s">
        <v>103</v>
      </c>
      <c r="X42" s="3">
        <v>0</v>
      </c>
      <c r="Y42" s="3">
        <v>0</v>
      </c>
      <c r="Z42" s="1">
        <v>0</v>
      </c>
      <c r="AA42" s="7">
        <f>((R42-T42)/T42)*100</f>
        <v>18.181818181818183</v>
      </c>
      <c r="AB42" s="3">
        <v>0</v>
      </c>
      <c r="AC42" s="3">
        <v>0</v>
      </c>
      <c r="AD42" s="3">
        <v>0.1</v>
      </c>
      <c r="AE42" s="3">
        <v>0</v>
      </c>
      <c r="AF42" s="3">
        <v>0</v>
      </c>
      <c r="AG42" s="3">
        <f>P42*R42</f>
        <v>7436</v>
      </c>
      <c r="AH42" s="3">
        <f>P42*T42</f>
        <v>6292</v>
      </c>
      <c r="AI42" s="6">
        <f>AG42/U42</f>
        <v>3.718</v>
      </c>
      <c r="AJ42" s="6">
        <f>AH42/U42</f>
        <v>3.1459999999999999</v>
      </c>
      <c r="AK42" s="3">
        <v>0</v>
      </c>
    </row>
    <row r="43" spans="1:37" x14ac:dyDescent="0.3">
      <c r="A43" s="3">
        <v>42</v>
      </c>
      <c r="B43" t="s">
        <v>104</v>
      </c>
      <c r="C43" s="3" t="s">
        <v>82</v>
      </c>
      <c r="D43" s="3">
        <v>7.5</v>
      </c>
      <c r="E43" s="3">
        <v>1</v>
      </c>
      <c r="F43" s="3">
        <v>24</v>
      </c>
      <c r="G43" s="3">
        <v>24</v>
      </c>
      <c r="H43" s="6">
        <f>(F43+G43)/2</f>
        <v>24</v>
      </c>
      <c r="I43" s="3">
        <v>40</v>
      </c>
      <c r="J43" s="3">
        <v>60</v>
      </c>
      <c r="K43" s="6">
        <f>(J43+I43)/2</f>
        <v>50</v>
      </c>
      <c r="L43" s="6">
        <f t="shared" si="0"/>
        <v>1200</v>
      </c>
      <c r="M43" s="3">
        <v>300</v>
      </c>
      <c r="N43" s="3">
        <v>11</v>
      </c>
      <c r="O43" s="3">
        <v>1</v>
      </c>
      <c r="P43" s="3">
        <v>2</v>
      </c>
      <c r="Q43" s="6">
        <f>(P43-O43)/O43</f>
        <v>1</v>
      </c>
      <c r="R43" s="1">
        <v>7500</v>
      </c>
      <c r="S43" s="16">
        <v>1.0172135556750941</v>
      </c>
      <c r="T43" s="1">
        <v>5000</v>
      </c>
      <c r="U43" s="3">
        <v>5000</v>
      </c>
      <c r="V43" s="3">
        <v>2</v>
      </c>
      <c r="W43" s="5" t="s">
        <v>105</v>
      </c>
      <c r="X43" s="3">
        <v>1</v>
      </c>
      <c r="Y43" s="3">
        <v>0</v>
      </c>
      <c r="Z43" s="1">
        <v>0</v>
      </c>
      <c r="AA43" s="7">
        <f>((R43-T43)/T43)*100</f>
        <v>50</v>
      </c>
      <c r="AB43" s="3">
        <v>0</v>
      </c>
      <c r="AC43" s="3">
        <v>0</v>
      </c>
      <c r="AD43" s="3">
        <v>0.1</v>
      </c>
      <c r="AE43" s="3">
        <v>0</v>
      </c>
      <c r="AF43" s="3">
        <v>0</v>
      </c>
      <c r="AG43" s="3">
        <f>P43*R43</f>
        <v>15000</v>
      </c>
      <c r="AH43" s="3">
        <f>P43*T43</f>
        <v>10000</v>
      </c>
      <c r="AI43" s="6">
        <f>AG43/U43</f>
        <v>3</v>
      </c>
      <c r="AJ43" s="6">
        <f>AH43/U43</f>
        <v>2</v>
      </c>
      <c r="AK43" s="3">
        <v>1</v>
      </c>
    </row>
    <row r="44" spans="1:37" x14ac:dyDescent="0.3">
      <c r="A44" s="3">
        <v>43</v>
      </c>
      <c r="B44" t="s">
        <v>106</v>
      </c>
      <c r="C44" s="3" t="s">
        <v>107</v>
      </c>
      <c r="D44" s="3">
        <v>1</v>
      </c>
      <c r="E44" s="3">
        <v>0</v>
      </c>
      <c r="F44" s="3">
        <v>2</v>
      </c>
      <c r="G44" s="3">
        <v>3</v>
      </c>
      <c r="H44" s="6">
        <f>(F44+G44)/2</f>
        <v>2.5</v>
      </c>
      <c r="I44" s="3">
        <v>1</v>
      </c>
      <c r="J44" s="3">
        <v>2</v>
      </c>
      <c r="K44" s="6">
        <f>(J44+I44)/2</f>
        <v>1.5</v>
      </c>
      <c r="L44" s="6">
        <f t="shared" si="0"/>
        <v>3.75</v>
      </c>
      <c r="M44" s="3">
        <v>4</v>
      </c>
      <c r="N44" s="3">
        <v>5</v>
      </c>
      <c r="O44" s="3">
        <v>15</v>
      </c>
      <c r="P44" s="3">
        <v>38</v>
      </c>
      <c r="Q44" s="6">
        <f>(P44-O44)/O44</f>
        <v>1.5333333333333334</v>
      </c>
      <c r="R44" s="1">
        <v>50</v>
      </c>
      <c r="S44" s="16">
        <v>0</v>
      </c>
      <c r="T44" s="1">
        <v>50</v>
      </c>
      <c r="U44" s="3">
        <v>50</v>
      </c>
      <c r="V44" s="3">
        <v>0</v>
      </c>
      <c r="W44" s="5" t="s">
        <v>45</v>
      </c>
      <c r="X44" s="3">
        <v>0</v>
      </c>
      <c r="Y44" s="3">
        <v>0</v>
      </c>
      <c r="Z44" s="1">
        <v>0</v>
      </c>
      <c r="AA44" s="7">
        <f>((R44-T44)/T44)*100</f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f>P44*R44</f>
        <v>1900</v>
      </c>
      <c r="AH44" s="3">
        <f>P44*T44</f>
        <v>1900</v>
      </c>
      <c r="AI44" s="6">
        <f>AG44/U44</f>
        <v>38</v>
      </c>
      <c r="AJ44" s="6">
        <f>AH44/U44</f>
        <v>38</v>
      </c>
      <c r="AK44" s="3">
        <v>0</v>
      </c>
    </row>
    <row r="45" spans="1:37" x14ac:dyDescent="0.3">
      <c r="A45" s="3">
        <v>44</v>
      </c>
      <c r="B45" t="s">
        <v>108</v>
      </c>
      <c r="C45" s="3" t="s">
        <v>107</v>
      </c>
      <c r="D45" s="3">
        <v>1.5</v>
      </c>
      <c r="E45" s="3">
        <v>1</v>
      </c>
      <c r="F45" s="3">
        <v>4</v>
      </c>
      <c r="G45" s="3">
        <v>4</v>
      </c>
      <c r="H45" s="6">
        <f>(F45+G45)/2</f>
        <v>4</v>
      </c>
      <c r="I45" s="3">
        <v>1</v>
      </c>
      <c r="J45" s="3">
        <v>2</v>
      </c>
      <c r="K45" s="6">
        <f>(J45+I45)/2</f>
        <v>1.5</v>
      </c>
      <c r="L45" s="6">
        <f t="shared" si="0"/>
        <v>6</v>
      </c>
      <c r="M45" s="3">
        <v>4</v>
      </c>
      <c r="N45" s="3">
        <v>7</v>
      </c>
      <c r="O45" s="3">
        <v>15</v>
      </c>
      <c r="P45" s="3">
        <v>38</v>
      </c>
      <c r="Q45" s="6">
        <f>(P45-O45)/O45</f>
        <v>1.5333333333333334</v>
      </c>
      <c r="R45" s="1">
        <v>60</v>
      </c>
      <c r="S45" s="16">
        <v>0.2</v>
      </c>
      <c r="T45" s="1">
        <v>60</v>
      </c>
      <c r="U45" s="3">
        <v>60</v>
      </c>
      <c r="V45" s="3">
        <v>0</v>
      </c>
      <c r="W45" s="5" t="s">
        <v>109</v>
      </c>
      <c r="X45" s="3">
        <v>0</v>
      </c>
      <c r="Y45" s="3">
        <v>0</v>
      </c>
      <c r="Z45" s="1">
        <v>0</v>
      </c>
      <c r="AA45" s="7">
        <f>((R45-T45)/T45)*100</f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f>P45*R45</f>
        <v>2280</v>
      </c>
      <c r="AH45" s="3">
        <f>P45*T45</f>
        <v>2280</v>
      </c>
      <c r="AI45" s="6">
        <f>AG45/U45</f>
        <v>38</v>
      </c>
      <c r="AJ45" s="6">
        <f>AH45/U45</f>
        <v>38</v>
      </c>
      <c r="AK45" s="3">
        <v>0</v>
      </c>
    </row>
    <row r="46" spans="1:37" x14ac:dyDescent="0.3">
      <c r="A46" s="3">
        <v>45</v>
      </c>
      <c r="B46" t="s">
        <v>110</v>
      </c>
      <c r="C46" s="3" t="s">
        <v>107</v>
      </c>
      <c r="D46" s="3">
        <v>2</v>
      </c>
      <c r="E46" s="3">
        <v>0</v>
      </c>
      <c r="F46" s="3">
        <v>6</v>
      </c>
      <c r="G46" s="3">
        <v>4</v>
      </c>
      <c r="H46" s="6">
        <f>(F46+G46)/2</f>
        <v>5</v>
      </c>
      <c r="I46" s="3">
        <v>2</v>
      </c>
      <c r="J46" s="3">
        <v>4</v>
      </c>
      <c r="K46" s="6">
        <f>(J46+I46)/2</f>
        <v>3</v>
      </c>
      <c r="L46" s="6">
        <f t="shared" si="0"/>
        <v>15</v>
      </c>
      <c r="M46" s="3">
        <v>13</v>
      </c>
      <c r="N46" s="3">
        <v>4</v>
      </c>
      <c r="O46" s="3">
        <v>8</v>
      </c>
      <c r="P46" s="3">
        <v>16</v>
      </c>
      <c r="Q46" s="6">
        <f>(P46-O46)/O46</f>
        <v>1</v>
      </c>
      <c r="R46" s="1">
        <v>159</v>
      </c>
      <c r="S46" s="16">
        <v>0</v>
      </c>
      <c r="T46" s="1">
        <v>145</v>
      </c>
      <c r="U46" s="3">
        <v>125</v>
      </c>
      <c r="V46" s="3">
        <v>0</v>
      </c>
      <c r="W46" s="5" t="s">
        <v>37</v>
      </c>
      <c r="X46" s="3">
        <v>1</v>
      </c>
      <c r="Y46" s="3">
        <v>0</v>
      </c>
      <c r="Z46" s="1">
        <v>0</v>
      </c>
      <c r="AA46" s="7">
        <f>((R46-T46)/T46)*100</f>
        <v>9.6551724137931032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f>P46*R46</f>
        <v>2544</v>
      </c>
      <c r="AH46" s="3">
        <f>P46*T46</f>
        <v>2320</v>
      </c>
      <c r="AI46" s="6">
        <f>AG46/U46</f>
        <v>20.352</v>
      </c>
      <c r="AJ46" s="6">
        <f>AH46/U46</f>
        <v>18.559999999999999</v>
      </c>
      <c r="AK46" s="3">
        <v>1</v>
      </c>
    </row>
    <row r="47" spans="1:37" x14ac:dyDescent="0.3">
      <c r="A47" s="3">
        <v>46</v>
      </c>
      <c r="B47" t="s">
        <v>111</v>
      </c>
      <c r="C47" s="3" t="s">
        <v>107</v>
      </c>
      <c r="D47" s="3">
        <v>2.5</v>
      </c>
      <c r="E47" s="3">
        <v>1</v>
      </c>
      <c r="F47" s="3">
        <v>7</v>
      </c>
      <c r="G47" s="3">
        <v>4</v>
      </c>
      <c r="H47" s="6">
        <f>(F47+G47)/2</f>
        <v>5.5</v>
      </c>
      <c r="I47" s="3">
        <v>2</v>
      </c>
      <c r="J47" s="3">
        <v>4</v>
      </c>
      <c r="K47" s="6">
        <f>(J47+I47)/2</f>
        <v>3</v>
      </c>
      <c r="L47" s="6">
        <f t="shared" si="0"/>
        <v>16.5</v>
      </c>
      <c r="M47" s="3">
        <v>13</v>
      </c>
      <c r="N47" s="3">
        <v>6</v>
      </c>
      <c r="O47" s="3">
        <v>8</v>
      </c>
      <c r="P47" s="3">
        <v>16</v>
      </c>
      <c r="Q47" s="6">
        <f>(P47-O47)/O47</f>
        <v>1</v>
      </c>
      <c r="R47" s="1">
        <v>240</v>
      </c>
      <c r="S47" s="16">
        <v>0.50943396226415094</v>
      </c>
      <c r="T47" s="1">
        <v>210</v>
      </c>
      <c r="U47" s="3">
        <v>175</v>
      </c>
      <c r="V47" s="3">
        <v>0</v>
      </c>
      <c r="W47" s="5" t="s">
        <v>112</v>
      </c>
      <c r="X47" s="3">
        <v>1</v>
      </c>
      <c r="Y47" s="3">
        <v>0</v>
      </c>
      <c r="Z47" s="1">
        <v>0</v>
      </c>
      <c r="AA47" s="7">
        <f>((R47-T47)/T47)*100</f>
        <v>14.285714285714285</v>
      </c>
      <c r="AB47" s="3">
        <v>0.3</v>
      </c>
      <c r="AC47" s="3">
        <v>0</v>
      </c>
      <c r="AD47" s="3">
        <v>0</v>
      </c>
      <c r="AE47" s="3">
        <v>0</v>
      </c>
      <c r="AF47" s="3">
        <v>0</v>
      </c>
      <c r="AG47" s="3">
        <f>P47*R47</f>
        <v>3840</v>
      </c>
      <c r="AH47" s="3">
        <f>P47*T47</f>
        <v>3360</v>
      </c>
      <c r="AI47" s="6">
        <f>AG47/U47</f>
        <v>21.942857142857143</v>
      </c>
      <c r="AJ47" s="6">
        <f>AH47/U47</f>
        <v>19.2</v>
      </c>
      <c r="AK47" s="3">
        <v>1</v>
      </c>
    </row>
    <row r="48" spans="1:37" x14ac:dyDescent="0.3">
      <c r="A48" s="3">
        <v>47</v>
      </c>
      <c r="B48" t="s">
        <v>113</v>
      </c>
      <c r="C48" s="3" t="s">
        <v>107</v>
      </c>
      <c r="D48" s="3">
        <v>3</v>
      </c>
      <c r="E48" s="3">
        <v>0</v>
      </c>
      <c r="F48" s="3">
        <v>10</v>
      </c>
      <c r="G48" s="3">
        <v>6</v>
      </c>
      <c r="H48" s="6">
        <f>(F48+G48)/2</f>
        <v>8</v>
      </c>
      <c r="I48" s="3">
        <v>2</v>
      </c>
      <c r="J48" s="3">
        <v>7</v>
      </c>
      <c r="K48" s="6">
        <f>(J48+I48)/2</f>
        <v>4.5</v>
      </c>
      <c r="L48" s="6">
        <f t="shared" si="0"/>
        <v>36</v>
      </c>
      <c r="M48" s="3">
        <v>25</v>
      </c>
      <c r="N48" s="3">
        <v>7</v>
      </c>
      <c r="O48" s="3">
        <v>5</v>
      </c>
      <c r="P48" s="3">
        <v>13</v>
      </c>
      <c r="Q48" s="6">
        <f>(P48-O48)/O48</f>
        <v>1.6</v>
      </c>
      <c r="R48" s="1">
        <v>357</v>
      </c>
      <c r="S48" s="16">
        <v>0</v>
      </c>
      <c r="T48" s="1">
        <v>275</v>
      </c>
      <c r="U48" s="3">
        <v>200</v>
      </c>
      <c r="V48" s="3">
        <v>0</v>
      </c>
      <c r="W48" s="5" t="s">
        <v>45</v>
      </c>
      <c r="X48" s="3">
        <v>0</v>
      </c>
      <c r="Y48" s="3">
        <v>0</v>
      </c>
      <c r="Z48" s="1">
        <v>0</v>
      </c>
      <c r="AA48" s="7">
        <f>((R48-T48)/T48)*100</f>
        <v>29.818181818181817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f>P48*R48</f>
        <v>4641</v>
      </c>
      <c r="AH48" s="3">
        <f>P48*T48</f>
        <v>3575</v>
      </c>
      <c r="AI48" s="6">
        <f>AG48/U48</f>
        <v>23.204999999999998</v>
      </c>
      <c r="AJ48" s="6">
        <f>AH48/U48</f>
        <v>17.875</v>
      </c>
      <c r="AK48" s="3">
        <v>0</v>
      </c>
    </row>
    <row r="49" spans="1:37" x14ac:dyDescent="0.3">
      <c r="A49" s="3">
        <v>48</v>
      </c>
      <c r="B49" t="s">
        <v>114</v>
      </c>
      <c r="C49" s="3" t="s">
        <v>107</v>
      </c>
      <c r="D49" s="3">
        <v>3.5</v>
      </c>
      <c r="E49" s="3">
        <v>1</v>
      </c>
      <c r="F49" s="3">
        <v>10</v>
      </c>
      <c r="G49" s="3">
        <v>8</v>
      </c>
      <c r="H49" s="6">
        <f>(F49+G49)/2</f>
        <v>9</v>
      </c>
      <c r="I49" s="3">
        <v>2</v>
      </c>
      <c r="J49" s="3">
        <v>7</v>
      </c>
      <c r="K49" s="6">
        <f>(J49+I49)/2</f>
        <v>4.5</v>
      </c>
      <c r="L49" s="6">
        <f t="shared" si="0"/>
        <v>40.5</v>
      </c>
      <c r="M49" s="3">
        <v>25</v>
      </c>
      <c r="N49" s="3">
        <v>8</v>
      </c>
      <c r="O49" s="3">
        <v>5</v>
      </c>
      <c r="P49" s="3">
        <v>13</v>
      </c>
      <c r="Q49" s="6">
        <f>(P49-O49)/O49</f>
        <v>1.6</v>
      </c>
      <c r="R49" s="1">
        <v>392</v>
      </c>
      <c r="S49" s="16">
        <v>9.8039215686274508E-2</v>
      </c>
      <c r="T49" s="1">
        <v>308</v>
      </c>
      <c r="U49" s="3">
        <v>250</v>
      </c>
      <c r="V49" s="3">
        <v>0</v>
      </c>
      <c r="W49" s="5" t="s">
        <v>115</v>
      </c>
      <c r="X49" s="3">
        <v>0</v>
      </c>
      <c r="Y49" s="3">
        <v>0</v>
      </c>
      <c r="Z49" s="1">
        <v>1</v>
      </c>
      <c r="AA49" s="7">
        <f>((R49-T49)/T49)*100</f>
        <v>27.27272727272727</v>
      </c>
      <c r="AB49" s="3">
        <v>0.3</v>
      </c>
      <c r="AC49" s="3">
        <v>0</v>
      </c>
      <c r="AD49" s="3">
        <v>0</v>
      </c>
      <c r="AE49" s="3">
        <v>0</v>
      </c>
      <c r="AF49" s="3">
        <v>0</v>
      </c>
      <c r="AG49" s="3">
        <f>P49*R49</f>
        <v>5096</v>
      </c>
      <c r="AH49" s="3">
        <f>P49*T49</f>
        <v>4004</v>
      </c>
      <c r="AI49" s="6">
        <f>AG49/U49</f>
        <v>20.384</v>
      </c>
      <c r="AJ49" s="6">
        <f>AH49/U49</f>
        <v>16.015999999999998</v>
      </c>
      <c r="AK49" s="3">
        <v>0</v>
      </c>
    </row>
    <row r="50" spans="1:37" x14ac:dyDescent="0.3">
      <c r="A50" s="3">
        <v>49</v>
      </c>
      <c r="B50" t="s">
        <v>116</v>
      </c>
      <c r="C50" s="3" t="s">
        <v>107</v>
      </c>
      <c r="D50" s="3">
        <v>4</v>
      </c>
      <c r="E50" s="3">
        <v>0</v>
      </c>
      <c r="F50" s="3">
        <v>10</v>
      </c>
      <c r="G50" s="3">
        <v>10</v>
      </c>
      <c r="H50" s="6">
        <f>(F50+G50)/2</f>
        <v>10</v>
      </c>
      <c r="I50" s="3">
        <v>7</v>
      </c>
      <c r="J50" s="3">
        <v>9</v>
      </c>
      <c r="K50" s="6">
        <f>(J50+I50)/2</f>
        <v>8</v>
      </c>
      <c r="L50" s="6">
        <f t="shared" si="0"/>
        <v>80</v>
      </c>
      <c r="M50" s="3">
        <v>35</v>
      </c>
      <c r="N50" s="3">
        <v>5</v>
      </c>
      <c r="O50" s="3">
        <v>4</v>
      </c>
      <c r="P50" s="3">
        <v>8</v>
      </c>
      <c r="Q50" s="6">
        <f>(P50-O50)/O50</f>
        <v>1</v>
      </c>
      <c r="R50" s="1">
        <v>445</v>
      </c>
      <c r="S50" s="16">
        <v>0</v>
      </c>
      <c r="T50" s="1">
        <v>445</v>
      </c>
      <c r="U50" s="3">
        <v>250</v>
      </c>
      <c r="V50" s="3">
        <v>0</v>
      </c>
      <c r="W50" s="5" t="s">
        <v>45</v>
      </c>
      <c r="X50" s="3">
        <v>0</v>
      </c>
      <c r="Y50" s="3">
        <v>0</v>
      </c>
      <c r="Z50" s="1">
        <v>0</v>
      </c>
      <c r="AA50" s="7">
        <f>((R50-T50)/T50)*100</f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f>P50*R50</f>
        <v>3560</v>
      </c>
      <c r="AH50" s="3">
        <f>P50*T50</f>
        <v>3560</v>
      </c>
      <c r="AI50" s="6">
        <f>AG50/U50</f>
        <v>14.24</v>
      </c>
      <c r="AJ50" s="6">
        <f>AH50/U50</f>
        <v>14.24</v>
      </c>
      <c r="AK50" s="3">
        <v>0</v>
      </c>
    </row>
    <row r="51" spans="1:37" x14ac:dyDescent="0.3">
      <c r="A51" s="3">
        <v>50</v>
      </c>
      <c r="B51" t="s">
        <v>117</v>
      </c>
      <c r="C51" s="3" t="s">
        <v>107</v>
      </c>
      <c r="D51" s="3">
        <v>4.5</v>
      </c>
      <c r="E51" s="3">
        <v>1</v>
      </c>
      <c r="F51" s="3">
        <v>10</v>
      </c>
      <c r="G51" s="3">
        <v>10</v>
      </c>
      <c r="H51" s="6">
        <f>(F51+G51)/2</f>
        <v>10</v>
      </c>
      <c r="I51" s="3">
        <v>7</v>
      </c>
      <c r="J51" s="3">
        <v>9</v>
      </c>
      <c r="K51" s="6">
        <f>(J51+I51)/2</f>
        <v>8</v>
      </c>
      <c r="L51" s="6">
        <f t="shared" si="0"/>
        <v>80</v>
      </c>
      <c r="M51" s="3">
        <v>40</v>
      </c>
      <c r="N51" s="3">
        <v>6</v>
      </c>
      <c r="O51" s="3">
        <v>4</v>
      </c>
      <c r="P51" s="3">
        <v>8</v>
      </c>
      <c r="Q51" s="6">
        <f>(P51-O51)/O51</f>
        <v>1</v>
      </c>
      <c r="R51" s="1">
        <v>480</v>
      </c>
      <c r="S51" s="16">
        <v>7.8651685393258425E-2</v>
      </c>
      <c r="T51" s="1">
        <v>480</v>
      </c>
      <c r="U51" s="3">
        <v>270</v>
      </c>
      <c r="V51" s="3">
        <v>0</v>
      </c>
      <c r="W51" s="5" t="s">
        <v>45</v>
      </c>
      <c r="X51" s="3">
        <v>0</v>
      </c>
      <c r="Y51" s="3">
        <v>0</v>
      </c>
      <c r="Z51" s="1">
        <v>0</v>
      </c>
      <c r="AA51" s="7">
        <f>((R51-T51)/T51)*100</f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f>P51*R51</f>
        <v>3840</v>
      </c>
      <c r="AH51" s="3">
        <f>P51*T51</f>
        <v>3840</v>
      </c>
      <c r="AI51" s="6">
        <f>AG51/U51</f>
        <v>14.222222222222221</v>
      </c>
      <c r="AJ51" s="6">
        <f>AH51/U51</f>
        <v>14.222222222222221</v>
      </c>
      <c r="AK51" s="3">
        <v>0</v>
      </c>
    </row>
    <row r="52" spans="1:37" x14ac:dyDescent="0.3">
      <c r="A52" s="3">
        <v>51</v>
      </c>
      <c r="B52" t="s">
        <v>118</v>
      </c>
      <c r="C52" s="3" t="s">
        <v>107</v>
      </c>
      <c r="D52" s="3">
        <v>5</v>
      </c>
      <c r="E52" s="3">
        <v>0</v>
      </c>
      <c r="F52" s="3">
        <v>13</v>
      </c>
      <c r="G52" s="3">
        <v>13</v>
      </c>
      <c r="H52" s="6">
        <f>(F52+G52)/2</f>
        <v>13</v>
      </c>
      <c r="I52" s="3">
        <v>13</v>
      </c>
      <c r="J52" s="3">
        <v>17</v>
      </c>
      <c r="K52" s="6">
        <f>(J52+I52)/2</f>
        <v>15</v>
      </c>
      <c r="L52" s="6">
        <f t="shared" si="0"/>
        <v>195</v>
      </c>
      <c r="M52" s="3">
        <v>45</v>
      </c>
      <c r="N52" s="3">
        <v>6</v>
      </c>
      <c r="O52" s="3">
        <v>3</v>
      </c>
      <c r="P52" s="3">
        <v>6</v>
      </c>
      <c r="Q52" s="6">
        <f>(P52-O52)/O52</f>
        <v>1</v>
      </c>
      <c r="R52" s="1">
        <v>765</v>
      </c>
      <c r="S52" s="16">
        <v>0</v>
      </c>
      <c r="T52" s="1">
        <v>765</v>
      </c>
      <c r="U52" s="3">
        <v>500</v>
      </c>
      <c r="V52" s="3">
        <v>0</v>
      </c>
      <c r="W52" s="5" t="s">
        <v>45</v>
      </c>
      <c r="X52" s="3">
        <v>0</v>
      </c>
      <c r="Y52" s="3">
        <v>0</v>
      </c>
      <c r="Z52" s="1">
        <v>0</v>
      </c>
      <c r="AA52" s="7">
        <f>((R52-T52)/T52)*100</f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f>P52*R52</f>
        <v>4590</v>
      </c>
      <c r="AH52" s="3">
        <f>P52*T52</f>
        <v>4590</v>
      </c>
      <c r="AI52" s="6">
        <f>AG52/U52</f>
        <v>9.18</v>
      </c>
      <c r="AJ52" s="6">
        <f>AH52/U52</f>
        <v>9.18</v>
      </c>
      <c r="AK52" s="3">
        <v>0</v>
      </c>
    </row>
    <row r="53" spans="1:37" x14ac:dyDescent="0.3">
      <c r="A53" s="3">
        <v>52</v>
      </c>
      <c r="B53" t="s">
        <v>119</v>
      </c>
      <c r="C53" s="3" t="s">
        <v>107</v>
      </c>
      <c r="D53" s="3">
        <v>5.5</v>
      </c>
      <c r="E53" s="3">
        <v>1</v>
      </c>
      <c r="F53" s="3">
        <v>13</v>
      </c>
      <c r="G53" s="3">
        <v>13</v>
      </c>
      <c r="H53" s="6">
        <f>(F53+G53)/2</f>
        <v>13</v>
      </c>
      <c r="I53" s="3">
        <v>13</v>
      </c>
      <c r="J53" s="3">
        <v>17</v>
      </c>
      <c r="K53" s="6">
        <f>(J53+I53)/2</f>
        <v>15</v>
      </c>
      <c r="L53" s="6">
        <f t="shared" si="0"/>
        <v>195</v>
      </c>
      <c r="M53" s="3">
        <v>45</v>
      </c>
      <c r="N53" s="3">
        <v>7</v>
      </c>
      <c r="O53" s="3">
        <v>3</v>
      </c>
      <c r="P53" s="3">
        <v>6</v>
      </c>
      <c r="Q53" s="6">
        <f>(P53-O53)/O53</f>
        <v>1</v>
      </c>
      <c r="R53" s="1">
        <v>1224</v>
      </c>
      <c r="S53" s="16">
        <v>0.6</v>
      </c>
      <c r="T53" s="1">
        <v>1071</v>
      </c>
      <c r="U53" s="3">
        <v>700</v>
      </c>
      <c r="V53" s="3">
        <v>0</v>
      </c>
      <c r="W53" s="5" t="s">
        <v>120</v>
      </c>
      <c r="X53" s="3">
        <v>0</v>
      </c>
      <c r="Y53" s="3">
        <v>0</v>
      </c>
      <c r="Z53" s="1">
        <v>0</v>
      </c>
      <c r="AA53" s="7">
        <f>((R53-T53)/T53)*100</f>
        <v>14.285714285714285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f>P53*R53</f>
        <v>7344</v>
      </c>
      <c r="AH53" s="3">
        <f>P53*T53</f>
        <v>6426</v>
      </c>
      <c r="AI53" s="6">
        <f>AG53/U53</f>
        <v>10.491428571428571</v>
      </c>
      <c r="AJ53" s="6">
        <f>AH53/U53</f>
        <v>9.18</v>
      </c>
      <c r="AK53" s="3">
        <v>0</v>
      </c>
    </row>
    <row r="54" spans="1:37" x14ac:dyDescent="0.3">
      <c r="A54" s="3">
        <v>53</v>
      </c>
      <c r="B54" t="s">
        <v>121</v>
      </c>
      <c r="C54" s="3" t="s">
        <v>107</v>
      </c>
      <c r="D54" s="3">
        <v>6</v>
      </c>
      <c r="E54" s="3">
        <v>0</v>
      </c>
      <c r="F54" s="3">
        <v>16</v>
      </c>
      <c r="G54" s="3">
        <v>12</v>
      </c>
      <c r="H54" s="6">
        <f>(F54+G54)/2</f>
        <v>14</v>
      </c>
      <c r="I54" s="3">
        <v>16</v>
      </c>
      <c r="J54" s="3">
        <v>24</v>
      </c>
      <c r="K54" s="6">
        <f>(J54+I54)/2</f>
        <v>20</v>
      </c>
      <c r="L54" s="6">
        <f t="shared" si="0"/>
        <v>280</v>
      </c>
      <c r="M54" s="3">
        <v>90</v>
      </c>
      <c r="N54" s="3">
        <v>9</v>
      </c>
      <c r="O54" s="3">
        <v>2</v>
      </c>
      <c r="P54" s="3">
        <v>4</v>
      </c>
      <c r="Q54" s="6">
        <f>(P54-O54)/O54</f>
        <v>1</v>
      </c>
      <c r="R54" s="1">
        <v>1670</v>
      </c>
      <c r="S54" s="16">
        <v>0</v>
      </c>
      <c r="T54" s="1">
        <v>1413</v>
      </c>
      <c r="U54" s="3">
        <v>900</v>
      </c>
      <c r="V54" s="3">
        <v>0</v>
      </c>
      <c r="W54" s="5" t="s">
        <v>122</v>
      </c>
      <c r="X54" s="3">
        <v>0</v>
      </c>
      <c r="Y54" s="3">
        <v>1</v>
      </c>
      <c r="Z54" s="1">
        <v>0</v>
      </c>
      <c r="AA54" s="7">
        <f>((R54-T54)/T54)*100</f>
        <v>18.188251946213729</v>
      </c>
      <c r="AB54" s="3">
        <v>0</v>
      </c>
      <c r="AC54" s="3">
        <v>0</v>
      </c>
      <c r="AD54" s="3">
        <v>0.25</v>
      </c>
      <c r="AE54" s="3">
        <v>0</v>
      </c>
      <c r="AF54" s="3">
        <v>0</v>
      </c>
      <c r="AG54" s="3">
        <f>P54*R54</f>
        <v>6680</v>
      </c>
      <c r="AH54" s="3">
        <f>P54*T54</f>
        <v>5652</v>
      </c>
      <c r="AI54" s="6">
        <f>AG54/U54</f>
        <v>7.4222222222222225</v>
      </c>
      <c r="AJ54" s="6">
        <f>AH54/U54</f>
        <v>6.28</v>
      </c>
      <c r="AK54" s="3">
        <v>1</v>
      </c>
    </row>
    <row r="55" spans="1:37" x14ac:dyDescent="0.3">
      <c r="A55" s="3">
        <v>54</v>
      </c>
      <c r="B55" t="s">
        <v>123</v>
      </c>
      <c r="C55" s="3" t="s">
        <v>107</v>
      </c>
      <c r="D55" s="3">
        <v>6.5</v>
      </c>
      <c r="E55" s="3">
        <v>1</v>
      </c>
      <c r="F55" s="3">
        <v>16</v>
      </c>
      <c r="G55" s="3">
        <v>14</v>
      </c>
      <c r="H55" s="6">
        <f>(F55+G55)/2</f>
        <v>15</v>
      </c>
      <c r="I55" s="3">
        <v>16</v>
      </c>
      <c r="J55" s="3">
        <v>24</v>
      </c>
      <c r="K55" s="6">
        <f>(J55+I55)/2</f>
        <v>20</v>
      </c>
      <c r="L55" s="6">
        <f t="shared" si="0"/>
        <v>300</v>
      </c>
      <c r="M55" s="3">
        <v>90</v>
      </c>
      <c r="N55" s="3">
        <v>13</v>
      </c>
      <c r="O55" s="3">
        <v>2</v>
      </c>
      <c r="P55" s="3">
        <v>4</v>
      </c>
      <c r="Q55" s="6">
        <f>(P55-O55)/O55</f>
        <v>1</v>
      </c>
      <c r="R55" s="1">
        <v>2343</v>
      </c>
      <c r="S55" s="16">
        <v>0.40299401197604789</v>
      </c>
      <c r="T55" s="1">
        <v>1802</v>
      </c>
      <c r="U55" s="3">
        <v>1100</v>
      </c>
      <c r="V55" s="3">
        <v>0</v>
      </c>
      <c r="W55" s="5" t="s">
        <v>124</v>
      </c>
      <c r="X55" s="3">
        <v>0</v>
      </c>
      <c r="Y55" s="3">
        <v>1</v>
      </c>
      <c r="Z55" s="1">
        <v>0</v>
      </c>
      <c r="AA55" s="7">
        <f>((R55-T55)/T55)*100</f>
        <v>30.022197558268594</v>
      </c>
      <c r="AB55" s="3">
        <v>0</v>
      </c>
      <c r="AC55" s="3">
        <v>0</v>
      </c>
      <c r="AD55" s="3">
        <v>0.25</v>
      </c>
      <c r="AE55" s="3">
        <v>0</v>
      </c>
      <c r="AF55" s="3">
        <v>1</v>
      </c>
      <c r="AG55" s="3">
        <f>P55*R55</f>
        <v>9372</v>
      </c>
      <c r="AH55" s="3">
        <f>P55*T55</f>
        <v>7208</v>
      </c>
      <c r="AI55" s="6">
        <f>AG55/U55</f>
        <v>8.52</v>
      </c>
      <c r="AJ55" s="6">
        <f>AH55/U55</f>
        <v>6.5527272727272727</v>
      </c>
      <c r="AK55" s="3">
        <v>1</v>
      </c>
    </row>
    <row r="56" spans="1:37" x14ac:dyDescent="0.3">
      <c r="A56" s="3">
        <v>55</v>
      </c>
      <c r="B56" t="s">
        <v>125</v>
      </c>
      <c r="C56" s="3" t="s">
        <v>107</v>
      </c>
      <c r="D56" s="3">
        <v>7</v>
      </c>
      <c r="E56" s="3">
        <v>0</v>
      </c>
      <c r="F56" s="3">
        <v>19</v>
      </c>
      <c r="G56" s="3">
        <v>21</v>
      </c>
      <c r="H56" s="6">
        <f>(F56+G56)/2</f>
        <v>20</v>
      </c>
      <c r="I56" s="3">
        <v>30</v>
      </c>
      <c r="J56" s="3">
        <v>40</v>
      </c>
      <c r="K56" s="6">
        <f>(J56+I56)/2</f>
        <v>35</v>
      </c>
      <c r="L56" s="6">
        <f t="shared" si="0"/>
        <v>700</v>
      </c>
      <c r="M56" s="3">
        <v>160</v>
      </c>
      <c r="N56" s="3">
        <v>11</v>
      </c>
      <c r="O56" s="3">
        <v>1</v>
      </c>
      <c r="P56" s="3">
        <v>2</v>
      </c>
      <c r="Q56" s="6">
        <f>(P56-O56)/O56</f>
        <v>1</v>
      </c>
      <c r="R56" s="1">
        <v>5101</v>
      </c>
      <c r="S56" s="16">
        <v>0</v>
      </c>
      <c r="T56" s="1">
        <v>3759</v>
      </c>
      <c r="U56" s="3">
        <v>2700</v>
      </c>
      <c r="V56" s="3">
        <v>1</v>
      </c>
      <c r="W56" s="5" t="s">
        <v>126</v>
      </c>
      <c r="X56" s="3">
        <v>0</v>
      </c>
      <c r="Y56" s="3">
        <v>1</v>
      </c>
      <c r="Z56" s="1">
        <v>1</v>
      </c>
      <c r="AA56" s="7">
        <f>((R56-T56)/T56)*100</f>
        <v>35.700984304336259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f>P56*R56</f>
        <v>10202</v>
      </c>
      <c r="AH56" s="3">
        <f>P56*T56</f>
        <v>7518</v>
      </c>
      <c r="AI56" s="6">
        <f>AG56/U56</f>
        <v>3.7785185185185184</v>
      </c>
      <c r="AJ56" s="6">
        <f>AH56/U56</f>
        <v>2.7844444444444445</v>
      </c>
      <c r="AK56" s="3">
        <v>1</v>
      </c>
    </row>
    <row r="57" spans="1:37" x14ac:dyDescent="0.3">
      <c r="A57" s="3">
        <v>56</v>
      </c>
      <c r="B57" t="s">
        <v>127</v>
      </c>
      <c r="C57" s="3" t="s">
        <v>107</v>
      </c>
      <c r="D57" s="3">
        <v>7.5</v>
      </c>
      <c r="E57" s="3">
        <v>1</v>
      </c>
      <c r="F57" s="3">
        <v>26</v>
      </c>
      <c r="G57" s="3">
        <v>28</v>
      </c>
      <c r="H57" s="6">
        <f>(F57+G57)/2</f>
        <v>27</v>
      </c>
      <c r="I57" s="3">
        <v>30</v>
      </c>
      <c r="J57" s="3">
        <v>40</v>
      </c>
      <c r="K57" s="6">
        <f>(J57+I57)/2</f>
        <v>35</v>
      </c>
      <c r="L57" s="6">
        <f t="shared" si="0"/>
        <v>945</v>
      </c>
      <c r="M57" s="3">
        <v>200</v>
      </c>
      <c r="N57" s="3">
        <v>17</v>
      </c>
      <c r="O57" s="3">
        <v>1</v>
      </c>
      <c r="P57" s="3">
        <v>2</v>
      </c>
      <c r="Q57" s="6">
        <f>(P57-O57)/O57</f>
        <v>1</v>
      </c>
      <c r="R57" s="1">
        <v>7115</v>
      </c>
      <c r="S57" s="16">
        <v>0.39482454420701824</v>
      </c>
      <c r="T57" s="1">
        <v>5243</v>
      </c>
      <c r="U57" s="3">
        <v>4500</v>
      </c>
      <c r="V57" s="3">
        <v>2</v>
      </c>
      <c r="W57" s="5" t="s">
        <v>126</v>
      </c>
      <c r="X57" s="3">
        <v>0</v>
      </c>
      <c r="Y57" s="3">
        <v>1</v>
      </c>
      <c r="Z57" s="1">
        <v>1</v>
      </c>
      <c r="AA57" s="7">
        <f>((R57-T57)/T57)*100</f>
        <v>35.704749189395386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f>P57*R57</f>
        <v>14230</v>
      </c>
      <c r="AH57" s="3">
        <f>P57*T57</f>
        <v>10486</v>
      </c>
      <c r="AI57" s="6">
        <f>AG57/U57</f>
        <v>3.1622222222222223</v>
      </c>
      <c r="AJ57" s="6">
        <f>AH57/U57</f>
        <v>2.3302222222222224</v>
      </c>
      <c r="AK57" s="3">
        <v>1</v>
      </c>
    </row>
    <row r="58" spans="1:37" x14ac:dyDescent="0.3">
      <c r="A58" s="3">
        <v>57</v>
      </c>
      <c r="B58" t="s">
        <v>128</v>
      </c>
      <c r="C58" s="3" t="s">
        <v>129</v>
      </c>
      <c r="D58" s="3">
        <v>1</v>
      </c>
      <c r="E58" s="3">
        <v>0</v>
      </c>
      <c r="F58" s="3">
        <v>5</v>
      </c>
      <c r="G58" s="3">
        <v>4</v>
      </c>
      <c r="H58" s="6">
        <f>(F58+G58)/2</f>
        <v>4.5</v>
      </c>
      <c r="I58" s="3">
        <v>1</v>
      </c>
      <c r="J58" s="3">
        <v>3</v>
      </c>
      <c r="K58" s="6">
        <f>(J58+I58)/2</f>
        <v>2</v>
      </c>
      <c r="L58" s="6">
        <f t="shared" si="0"/>
        <v>9</v>
      </c>
      <c r="M58" s="3">
        <v>6</v>
      </c>
      <c r="N58" s="3">
        <v>4</v>
      </c>
      <c r="O58" s="3">
        <v>12</v>
      </c>
      <c r="P58" s="3">
        <v>30</v>
      </c>
      <c r="Q58" s="6">
        <f>(P58-O58)/O58</f>
        <v>1.5</v>
      </c>
      <c r="R58" s="1">
        <v>60</v>
      </c>
      <c r="S58" s="16">
        <v>0</v>
      </c>
      <c r="T58" s="1">
        <v>75</v>
      </c>
      <c r="U58" s="3">
        <v>60</v>
      </c>
      <c r="V58" s="3">
        <v>0</v>
      </c>
      <c r="W58" s="5" t="s">
        <v>130</v>
      </c>
      <c r="X58" s="3">
        <v>0</v>
      </c>
      <c r="Y58" s="3">
        <v>0</v>
      </c>
      <c r="Z58" s="1">
        <v>0</v>
      </c>
      <c r="AA58" s="7">
        <f>((R58-T58)/T58)*100</f>
        <v>-20</v>
      </c>
      <c r="AB58" s="3">
        <v>0</v>
      </c>
      <c r="AC58" s="3">
        <v>0</v>
      </c>
      <c r="AD58" s="3">
        <v>0.1</v>
      </c>
      <c r="AE58" s="3">
        <v>0</v>
      </c>
      <c r="AF58" s="3">
        <v>0</v>
      </c>
      <c r="AG58" s="3">
        <f>P58*R58</f>
        <v>1800</v>
      </c>
      <c r="AH58" s="3">
        <f>P58*T58</f>
        <v>2250</v>
      </c>
      <c r="AI58" s="6">
        <f>AG58/U58</f>
        <v>30</v>
      </c>
      <c r="AJ58" s="6">
        <f>AH58/U58</f>
        <v>37.5</v>
      </c>
      <c r="AK58" s="3">
        <v>0</v>
      </c>
    </row>
    <row r="59" spans="1:37" x14ac:dyDescent="0.3">
      <c r="A59" s="3">
        <v>58</v>
      </c>
      <c r="B59" t="s">
        <v>131</v>
      </c>
      <c r="C59" s="3" t="s">
        <v>129</v>
      </c>
      <c r="D59" s="3">
        <v>1.5</v>
      </c>
      <c r="E59" s="3">
        <v>1</v>
      </c>
      <c r="F59" s="3">
        <v>6</v>
      </c>
      <c r="G59" s="3">
        <v>6</v>
      </c>
      <c r="H59" s="6">
        <f>(F59+G59)/2</f>
        <v>6</v>
      </c>
      <c r="I59" s="3">
        <v>1</v>
      </c>
      <c r="J59" s="3">
        <v>3</v>
      </c>
      <c r="K59" s="6">
        <f>(J59+I59)/2</f>
        <v>2</v>
      </c>
      <c r="L59" s="6">
        <f t="shared" si="0"/>
        <v>12</v>
      </c>
      <c r="M59" s="3">
        <v>6</v>
      </c>
      <c r="N59" s="3">
        <v>5</v>
      </c>
      <c r="O59" s="3">
        <v>12</v>
      </c>
      <c r="P59" s="3">
        <v>30</v>
      </c>
      <c r="Q59" s="6">
        <f>(P59-O59)/O59</f>
        <v>1.5</v>
      </c>
      <c r="R59" s="1">
        <v>85</v>
      </c>
      <c r="S59" s="16">
        <v>0.41666666666666669</v>
      </c>
      <c r="T59" s="1">
        <v>85</v>
      </c>
      <c r="U59" s="3">
        <v>70</v>
      </c>
      <c r="V59" s="3">
        <v>0</v>
      </c>
      <c r="W59" s="5" t="s">
        <v>130</v>
      </c>
      <c r="X59" s="3">
        <v>0</v>
      </c>
      <c r="Y59" s="3">
        <v>0</v>
      </c>
      <c r="Z59" s="1">
        <v>0</v>
      </c>
      <c r="AA59" s="7">
        <f>((R59-T59)/T59)*100</f>
        <v>0</v>
      </c>
      <c r="AB59" s="3">
        <v>0</v>
      </c>
      <c r="AC59" s="3">
        <v>0</v>
      </c>
      <c r="AD59" s="3">
        <v>0.1</v>
      </c>
      <c r="AE59" s="3">
        <v>0</v>
      </c>
      <c r="AF59" s="3">
        <v>0</v>
      </c>
      <c r="AG59" s="3">
        <f>P59*R59</f>
        <v>2550</v>
      </c>
      <c r="AH59" s="3">
        <f>P59*T59</f>
        <v>2550</v>
      </c>
      <c r="AI59" s="6">
        <f>AG59/U59</f>
        <v>36.428571428571431</v>
      </c>
      <c r="AJ59" s="6">
        <f>AH59/U59</f>
        <v>36.428571428571431</v>
      </c>
      <c r="AK59" s="3">
        <v>0</v>
      </c>
    </row>
    <row r="60" spans="1:37" x14ac:dyDescent="0.3">
      <c r="A60" s="3">
        <v>59</v>
      </c>
      <c r="B60" t="s">
        <v>132</v>
      </c>
      <c r="C60" s="3" t="s">
        <v>129</v>
      </c>
      <c r="D60" s="3">
        <v>2</v>
      </c>
      <c r="E60" s="3">
        <v>0</v>
      </c>
      <c r="F60" s="3">
        <v>5</v>
      </c>
      <c r="G60" s="3">
        <v>5</v>
      </c>
      <c r="H60" s="6">
        <f>(F60+G60)/2</f>
        <v>5</v>
      </c>
      <c r="I60" s="3">
        <v>2</v>
      </c>
      <c r="J60" s="3">
        <v>3</v>
      </c>
      <c r="K60" s="6">
        <f>(J60+I60)/2</f>
        <v>2.5</v>
      </c>
      <c r="L60" s="6">
        <f t="shared" si="0"/>
        <v>12.5</v>
      </c>
      <c r="M60" s="3">
        <v>15</v>
      </c>
      <c r="N60" s="3">
        <v>3</v>
      </c>
      <c r="O60" s="3">
        <v>8</v>
      </c>
      <c r="P60" s="3">
        <v>16</v>
      </c>
      <c r="Q60" s="6">
        <f>(P60-O60)/O60</f>
        <v>1</v>
      </c>
      <c r="R60" s="1">
        <v>98</v>
      </c>
      <c r="S60" s="16">
        <v>0</v>
      </c>
      <c r="T60" s="1">
        <v>140</v>
      </c>
      <c r="U60" s="3">
        <v>100</v>
      </c>
      <c r="V60" s="3">
        <v>0</v>
      </c>
      <c r="W60" s="5" t="s">
        <v>130</v>
      </c>
      <c r="X60" s="3">
        <v>0</v>
      </c>
      <c r="Y60" s="3">
        <v>0</v>
      </c>
      <c r="Z60" s="1">
        <v>0</v>
      </c>
      <c r="AA60" s="7">
        <f>((R60-T60)/T60)*100</f>
        <v>-30</v>
      </c>
      <c r="AB60" s="3">
        <v>0</v>
      </c>
      <c r="AC60" s="3">
        <v>0</v>
      </c>
      <c r="AD60" s="3">
        <v>0.1</v>
      </c>
      <c r="AE60" s="3">
        <v>0</v>
      </c>
      <c r="AF60" s="3">
        <v>0</v>
      </c>
      <c r="AG60" s="3">
        <f>P60*R60</f>
        <v>1568</v>
      </c>
      <c r="AH60" s="3">
        <f>P60*T60</f>
        <v>2240</v>
      </c>
      <c r="AI60" s="6">
        <f>AG60/U60</f>
        <v>15.68</v>
      </c>
      <c r="AJ60" s="6">
        <f>AH60/U60</f>
        <v>22.4</v>
      </c>
      <c r="AK60" s="3">
        <v>0</v>
      </c>
    </row>
    <row r="61" spans="1:37" x14ac:dyDescent="0.3">
      <c r="A61" s="3">
        <v>60</v>
      </c>
      <c r="B61" t="s">
        <v>133</v>
      </c>
      <c r="C61" s="3" t="s">
        <v>129</v>
      </c>
      <c r="D61" s="3">
        <v>2.5</v>
      </c>
      <c r="E61" s="3">
        <v>1</v>
      </c>
      <c r="F61" s="3">
        <v>5</v>
      </c>
      <c r="G61" s="3">
        <v>5</v>
      </c>
      <c r="H61" s="6">
        <f>(F61+G61)/2</f>
        <v>5</v>
      </c>
      <c r="I61" s="3">
        <v>2</v>
      </c>
      <c r="J61" s="3">
        <v>3</v>
      </c>
      <c r="K61" s="6">
        <f>(J61+I61)/2</f>
        <v>2.5</v>
      </c>
      <c r="L61" s="6">
        <f t="shared" si="0"/>
        <v>12.5</v>
      </c>
      <c r="M61" s="3">
        <v>20</v>
      </c>
      <c r="N61" s="3">
        <v>4</v>
      </c>
      <c r="O61" s="3">
        <v>8</v>
      </c>
      <c r="P61" s="3">
        <v>16</v>
      </c>
      <c r="Q61" s="6">
        <f>(P61-O61)/O61</f>
        <v>1</v>
      </c>
      <c r="R61" s="1">
        <v>128</v>
      </c>
      <c r="S61" s="16">
        <v>0.30612244897959184</v>
      </c>
      <c r="T61" s="1">
        <v>160</v>
      </c>
      <c r="U61" s="3">
        <v>125</v>
      </c>
      <c r="V61" s="3">
        <v>0</v>
      </c>
      <c r="W61" s="5" t="s">
        <v>134</v>
      </c>
      <c r="X61" s="3">
        <v>0</v>
      </c>
      <c r="Y61" s="3">
        <v>0</v>
      </c>
      <c r="Z61" s="1">
        <v>0</v>
      </c>
      <c r="AA61" s="7">
        <f>((R61-T61)/T61)*100</f>
        <v>-20</v>
      </c>
      <c r="AB61" s="3">
        <v>0</v>
      </c>
      <c r="AC61" s="3">
        <v>1</v>
      </c>
      <c r="AD61" s="3">
        <v>0.1</v>
      </c>
      <c r="AE61" s="3">
        <v>0</v>
      </c>
      <c r="AF61" s="3">
        <v>0</v>
      </c>
      <c r="AG61" s="3">
        <f>P61*R61</f>
        <v>2048</v>
      </c>
      <c r="AH61" s="3">
        <f>P61*T61</f>
        <v>2560</v>
      </c>
      <c r="AI61" s="6">
        <f>AG61/U61</f>
        <v>16.384</v>
      </c>
      <c r="AJ61" s="6">
        <f>AH61/U61</f>
        <v>20.48</v>
      </c>
      <c r="AK61" s="3">
        <v>0</v>
      </c>
    </row>
    <row r="62" spans="1:37" x14ac:dyDescent="0.3">
      <c r="A62" s="3">
        <v>61</v>
      </c>
      <c r="B62" t="s">
        <v>135</v>
      </c>
      <c r="C62" s="3" t="s">
        <v>129</v>
      </c>
      <c r="D62" s="3">
        <v>3</v>
      </c>
      <c r="E62" s="3">
        <v>0</v>
      </c>
      <c r="F62" s="3">
        <v>7</v>
      </c>
      <c r="G62" s="3">
        <v>7</v>
      </c>
      <c r="H62" s="6">
        <f>(F62+G62)/2</f>
        <v>7</v>
      </c>
      <c r="I62" s="3">
        <v>3</v>
      </c>
      <c r="J62" s="3">
        <v>5</v>
      </c>
      <c r="K62" s="6">
        <f>(J62+I62)/2</f>
        <v>4</v>
      </c>
      <c r="L62" s="6">
        <f t="shared" si="0"/>
        <v>28</v>
      </c>
      <c r="M62" s="3">
        <v>18</v>
      </c>
      <c r="N62" s="3">
        <v>5</v>
      </c>
      <c r="O62" s="3">
        <v>7</v>
      </c>
      <c r="P62" s="3">
        <v>14</v>
      </c>
      <c r="Q62" s="6">
        <f>(P62-O62)/O62</f>
        <v>1</v>
      </c>
      <c r="R62" s="1">
        <v>252</v>
      </c>
      <c r="S62" s="16">
        <v>0</v>
      </c>
      <c r="T62" s="1">
        <v>231</v>
      </c>
      <c r="U62" s="3">
        <v>200</v>
      </c>
      <c r="V62" s="3">
        <v>0</v>
      </c>
      <c r="W62" s="5" t="s">
        <v>136</v>
      </c>
      <c r="X62" s="3">
        <v>0</v>
      </c>
      <c r="Y62" s="3">
        <v>1</v>
      </c>
      <c r="Z62" s="1">
        <v>0</v>
      </c>
      <c r="AA62" s="7">
        <f>((R62-T62)/T62)*100</f>
        <v>9.0909090909090917</v>
      </c>
      <c r="AB62" s="3">
        <v>0</v>
      </c>
      <c r="AC62" s="3">
        <v>0</v>
      </c>
      <c r="AD62" s="3">
        <v>0.1</v>
      </c>
      <c r="AE62" s="3">
        <v>0</v>
      </c>
      <c r="AF62" s="3">
        <v>0</v>
      </c>
      <c r="AG62" s="3">
        <f>P62*R62</f>
        <v>3528</v>
      </c>
      <c r="AH62" s="3">
        <f>P62*T62</f>
        <v>3234</v>
      </c>
      <c r="AI62" s="6">
        <f>AG62/U62</f>
        <v>17.64</v>
      </c>
      <c r="AJ62" s="6">
        <f>AH62/U62</f>
        <v>16.170000000000002</v>
      </c>
      <c r="AK62" s="3">
        <v>1</v>
      </c>
    </row>
    <row r="63" spans="1:37" x14ac:dyDescent="0.3">
      <c r="A63" s="3">
        <v>62</v>
      </c>
      <c r="B63" t="s">
        <v>137</v>
      </c>
      <c r="C63" s="3" t="s">
        <v>129</v>
      </c>
      <c r="D63" s="3">
        <v>3.5</v>
      </c>
      <c r="E63" s="3">
        <v>1</v>
      </c>
      <c r="F63" s="3">
        <v>7</v>
      </c>
      <c r="G63" s="3">
        <v>7</v>
      </c>
      <c r="H63" s="6">
        <f>(F63+G63)/2</f>
        <v>7</v>
      </c>
      <c r="I63" s="3">
        <v>3</v>
      </c>
      <c r="J63" s="3">
        <v>5</v>
      </c>
      <c r="K63" s="6">
        <f>(J63+I63)/2</f>
        <v>4</v>
      </c>
      <c r="L63" s="6">
        <f t="shared" si="0"/>
        <v>28</v>
      </c>
      <c r="M63" s="3">
        <v>18</v>
      </c>
      <c r="N63" s="3">
        <v>7</v>
      </c>
      <c r="O63" s="3">
        <v>7</v>
      </c>
      <c r="P63" s="3">
        <v>14</v>
      </c>
      <c r="Q63" s="6">
        <f>(P63-O63)/O63</f>
        <v>1</v>
      </c>
      <c r="R63" s="1">
        <v>315</v>
      </c>
      <c r="S63" s="16">
        <v>0.25</v>
      </c>
      <c r="T63" s="1">
        <v>252</v>
      </c>
      <c r="U63" s="3">
        <v>230</v>
      </c>
      <c r="V63" s="3">
        <v>0</v>
      </c>
      <c r="W63" s="5" t="s">
        <v>138</v>
      </c>
      <c r="X63" s="3">
        <v>0</v>
      </c>
      <c r="Y63" s="3">
        <v>1</v>
      </c>
      <c r="Z63" s="1">
        <v>0</v>
      </c>
      <c r="AA63" s="7">
        <f>((R63-T63)/T63)*100</f>
        <v>25</v>
      </c>
      <c r="AB63" s="3">
        <v>0</v>
      </c>
      <c r="AC63" s="3">
        <v>0</v>
      </c>
      <c r="AD63" s="3">
        <v>0.1</v>
      </c>
      <c r="AE63" s="3">
        <v>0</v>
      </c>
      <c r="AF63" s="3">
        <v>0</v>
      </c>
      <c r="AG63" s="3">
        <f>P63*R63</f>
        <v>4410</v>
      </c>
      <c r="AH63" s="3">
        <f>P63*T63</f>
        <v>3528</v>
      </c>
      <c r="AI63" s="6">
        <f>AG63/U63</f>
        <v>19.173913043478262</v>
      </c>
      <c r="AJ63" s="6">
        <f>AH63/U63</f>
        <v>15.339130434782609</v>
      </c>
      <c r="AK63" s="3">
        <v>1</v>
      </c>
    </row>
    <row r="64" spans="1:37" x14ac:dyDescent="0.3">
      <c r="A64" s="3">
        <v>63</v>
      </c>
      <c r="B64" t="s">
        <v>139</v>
      </c>
      <c r="C64" s="3" t="s">
        <v>129</v>
      </c>
      <c r="D64" s="3">
        <v>4</v>
      </c>
      <c r="E64" s="3">
        <v>0</v>
      </c>
      <c r="F64" s="3">
        <v>10</v>
      </c>
      <c r="G64" s="3">
        <v>9</v>
      </c>
      <c r="H64" s="6">
        <f>(F64+G64)/2</f>
        <v>9.5</v>
      </c>
      <c r="I64" s="3">
        <v>5</v>
      </c>
      <c r="J64" s="3">
        <v>8</v>
      </c>
      <c r="K64" s="6">
        <f>(J64+I64)/2</f>
        <v>6.5</v>
      </c>
      <c r="L64" s="6">
        <f t="shared" si="0"/>
        <v>61.75</v>
      </c>
      <c r="M64" s="3">
        <v>30</v>
      </c>
      <c r="N64" s="3">
        <v>6</v>
      </c>
      <c r="O64" s="3">
        <v>4</v>
      </c>
      <c r="P64" s="3">
        <v>8</v>
      </c>
      <c r="Q64" s="6">
        <f>(P64-O64)/O64</f>
        <v>1</v>
      </c>
      <c r="R64" s="1">
        <v>555</v>
      </c>
      <c r="S64" s="16">
        <v>0</v>
      </c>
      <c r="T64" s="1">
        <v>518</v>
      </c>
      <c r="U64" s="3">
        <v>360</v>
      </c>
      <c r="V64" s="3">
        <v>0</v>
      </c>
      <c r="W64" s="5" t="s">
        <v>140</v>
      </c>
      <c r="X64" s="3">
        <v>0</v>
      </c>
      <c r="Y64" s="3">
        <v>1</v>
      </c>
      <c r="Z64" s="1">
        <v>1</v>
      </c>
      <c r="AA64" s="7">
        <f>((R64-T64)/T64)*100</f>
        <v>7.1428571428571423</v>
      </c>
      <c r="AB64" s="3">
        <v>0</v>
      </c>
      <c r="AC64" s="3">
        <v>0</v>
      </c>
      <c r="AD64" s="3">
        <v>0.1</v>
      </c>
      <c r="AE64" s="3">
        <v>0</v>
      </c>
      <c r="AF64" s="3">
        <v>0</v>
      </c>
      <c r="AG64" s="3">
        <f>P64*R64</f>
        <v>4440</v>
      </c>
      <c r="AH64" s="3">
        <f>P64*T64</f>
        <v>4144</v>
      </c>
      <c r="AI64" s="6">
        <f>AG64/U64</f>
        <v>12.333333333333334</v>
      </c>
      <c r="AJ64" s="6">
        <f>AH64/U64</f>
        <v>11.511111111111111</v>
      </c>
      <c r="AK64" s="3">
        <v>1</v>
      </c>
    </row>
    <row r="65" spans="1:37" x14ac:dyDescent="0.3">
      <c r="A65" s="3">
        <v>64</v>
      </c>
      <c r="B65" t="s">
        <v>141</v>
      </c>
      <c r="C65" s="3" t="s">
        <v>129</v>
      </c>
      <c r="D65" s="3">
        <v>4.5</v>
      </c>
      <c r="E65" s="3">
        <v>1</v>
      </c>
      <c r="F65" s="3">
        <v>10</v>
      </c>
      <c r="G65" s="3">
        <v>10</v>
      </c>
      <c r="H65" s="6">
        <f>(F65+G65)/2</f>
        <v>10</v>
      </c>
      <c r="I65" s="3">
        <v>5</v>
      </c>
      <c r="J65" s="3">
        <v>8</v>
      </c>
      <c r="K65" s="6">
        <f>(J65+I65)/2</f>
        <v>6.5</v>
      </c>
      <c r="L65" s="6">
        <f t="shared" si="0"/>
        <v>65</v>
      </c>
      <c r="M65" s="3">
        <v>40</v>
      </c>
      <c r="N65" s="3">
        <v>9</v>
      </c>
      <c r="O65" s="3">
        <v>4</v>
      </c>
      <c r="P65" s="3">
        <v>8</v>
      </c>
      <c r="Q65" s="6">
        <f>(P65-O65)/O65</f>
        <v>1</v>
      </c>
      <c r="R65" s="1">
        <v>783</v>
      </c>
      <c r="S65" s="16">
        <v>0.41081081081081083</v>
      </c>
      <c r="T65" s="1">
        <v>652</v>
      </c>
      <c r="U65" s="3">
        <v>500</v>
      </c>
      <c r="V65" s="3">
        <v>0</v>
      </c>
      <c r="W65" s="5" t="s">
        <v>142</v>
      </c>
      <c r="X65" s="3">
        <v>0</v>
      </c>
      <c r="Y65" s="3">
        <v>1</v>
      </c>
      <c r="Z65" s="1">
        <v>1</v>
      </c>
      <c r="AA65" s="7">
        <f>((R65-T65)/T65)*100</f>
        <v>20.092024539877301</v>
      </c>
      <c r="AB65" s="3">
        <v>0</v>
      </c>
      <c r="AC65" s="3">
        <v>0</v>
      </c>
      <c r="AD65" s="3">
        <v>0.1</v>
      </c>
      <c r="AE65" s="3">
        <v>0</v>
      </c>
      <c r="AF65" s="3">
        <v>0</v>
      </c>
      <c r="AG65" s="3">
        <f>P65*R65</f>
        <v>6264</v>
      </c>
      <c r="AH65" s="3">
        <f>P65*T65</f>
        <v>5216</v>
      </c>
      <c r="AI65" s="6">
        <f>AG65/U65</f>
        <v>12.528</v>
      </c>
      <c r="AJ65" s="6">
        <f>AH65/U65</f>
        <v>10.432</v>
      </c>
      <c r="AK65" s="3">
        <v>1</v>
      </c>
    </row>
    <row r="66" spans="1:37" x14ac:dyDescent="0.3">
      <c r="A66" s="3">
        <v>65</v>
      </c>
      <c r="B66" t="s">
        <v>143</v>
      </c>
      <c r="C66" s="3" t="s">
        <v>129</v>
      </c>
      <c r="D66" s="3">
        <v>5</v>
      </c>
      <c r="E66" s="3">
        <v>0</v>
      </c>
      <c r="F66" s="3">
        <v>13</v>
      </c>
      <c r="G66" s="3">
        <v>10</v>
      </c>
      <c r="H66" s="6">
        <f>(F66+G66)/2</f>
        <v>11.5</v>
      </c>
      <c r="I66" s="3">
        <v>11</v>
      </c>
      <c r="J66" s="3">
        <v>13</v>
      </c>
      <c r="K66" s="6">
        <f>(J66+I66)/2</f>
        <v>12</v>
      </c>
      <c r="L66" s="6">
        <f t="shared" si="0"/>
        <v>138</v>
      </c>
      <c r="M66" s="3">
        <v>30</v>
      </c>
      <c r="N66" s="3">
        <v>6</v>
      </c>
      <c r="O66" s="3">
        <v>3</v>
      </c>
      <c r="P66" s="3">
        <v>6</v>
      </c>
      <c r="Q66" s="6">
        <f>(P66-O66)/O66</f>
        <v>1</v>
      </c>
      <c r="R66" s="1">
        <v>848</v>
      </c>
      <c r="S66" s="16">
        <v>0</v>
      </c>
      <c r="T66" s="1">
        <v>742</v>
      </c>
      <c r="U66" s="3">
        <v>550</v>
      </c>
      <c r="V66" s="3">
        <v>0</v>
      </c>
      <c r="W66" s="5" t="s">
        <v>144</v>
      </c>
      <c r="X66" s="3">
        <v>1</v>
      </c>
      <c r="Y66" s="3">
        <v>0</v>
      </c>
      <c r="Z66" s="1">
        <v>0</v>
      </c>
      <c r="AA66" s="7">
        <f>((R66-T66)/T66)*100</f>
        <v>14.285714285714285</v>
      </c>
      <c r="AB66" s="3">
        <v>0.3</v>
      </c>
      <c r="AC66" s="3">
        <v>0</v>
      </c>
      <c r="AD66" s="3">
        <v>0.1</v>
      </c>
      <c r="AE66" s="3">
        <v>0</v>
      </c>
      <c r="AF66" s="3">
        <v>0</v>
      </c>
      <c r="AG66" s="3">
        <f>P66*R66</f>
        <v>5088</v>
      </c>
      <c r="AH66" s="3">
        <f>P66*T66</f>
        <v>4452</v>
      </c>
      <c r="AI66" s="6">
        <f>AG66/U66</f>
        <v>9.2509090909090901</v>
      </c>
      <c r="AJ66" s="6">
        <f>AH66/U66</f>
        <v>8.0945454545454538</v>
      </c>
      <c r="AK66" s="3">
        <v>1</v>
      </c>
    </row>
    <row r="67" spans="1:37" x14ac:dyDescent="0.3">
      <c r="A67" s="3">
        <v>66</v>
      </c>
      <c r="B67" t="s">
        <v>145</v>
      </c>
      <c r="C67" s="3" t="s">
        <v>129</v>
      </c>
      <c r="D67" s="3">
        <v>5.5</v>
      </c>
      <c r="E67" s="3">
        <v>1</v>
      </c>
      <c r="F67" s="3">
        <v>13</v>
      </c>
      <c r="G67" s="3">
        <v>10</v>
      </c>
      <c r="H67" s="6">
        <f>(F67+G67)/2</f>
        <v>11.5</v>
      </c>
      <c r="I67" s="3">
        <v>11</v>
      </c>
      <c r="J67" s="3">
        <v>15</v>
      </c>
      <c r="K67" s="6">
        <f>(J67+I67)/2</f>
        <v>13</v>
      </c>
      <c r="L67" s="6">
        <f t="shared" ref="L67:L130" si="1">H67*K67</f>
        <v>149.5</v>
      </c>
      <c r="M67" s="3">
        <v>40</v>
      </c>
      <c r="N67" s="3">
        <v>7</v>
      </c>
      <c r="O67" s="3">
        <v>3</v>
      </c>
      <c r="P67" s="3">
        <v>6</v>
      </c>
      <c r="Q67" s="6">
        <f>(P67-O67)/O67</f>
        <v>1</v>
      </c>
      <c r="R67" s="1">
        <v>1079</v>
      </c>
      <c r="S67" s="16">
        <v>0.27240566037735847</v>
      </c>
      <c r="T67" s="1">
        <v>889</v>
      </c>
      <c r="U67" s="3">
        <v>600</v>
      </c>
      <c r="V67" s="3">
        <v>0</v>
      </c>
      <c r="W67" s="5" t="s">
        <v>146</v>
      </c>
      <c r="X67" s="3">
        <v>1</v>
      </c>
      <c r="Y67" s="3">
        <v>0</v>
      </c>
      <c r="Z67" s="1">
        <v>0</v>
      </c>
      <c r="AA67" s="7">
        <f>((R67-T67)/T67)*100</f>
        <v>21.372328458942633</v>
      </c>
      <c r="AB67" s="3">
        <v>0.3</v>
      </c>
      <c r="AC67" s="3">
        <v>0</v>
      </c>
      <c r="AD67" s="3">
        <v>0.1</v>
      </c>
      <c r="AE67" s="3">
        <v>0</v>
      </c>
      <c r="AF67" s="3">
        <v>0</v>
      </c>
      <c r="AG67" s="3">
        <f>P67*R67</f>
        <v>6474</v>
      </c>
      <c r="AH67" s="3">
        <f>P67*T67</f>
        <v>5334</v>
      </c>
      <c r="AI67" s="6">
        <f>AG67/U67</f>
        <v>10.79</v>
      </c>
      <c r="AJ67" s="6">
        <f>AH67/U67</f>
        <v>8.89</v>
      </c>
      <c r="AK67" s="3">
        <v>1</v>
      </c>
    </row>
    <row r="68" spans="1:37" x14ac:dyDescent="0.3">
      <c r="A68" s="3">
        <v>67</v>
      </c>
      <c r="B68" t="s">
        <v>147</v>
      </c>
      <c r="C68" s="3" t="s">
        <v>129</v>
      </c>
      <c r="D68" s="3">
        <v>6</v>
      </c>
      <c r="E68" s="3">
        <v>0</v>
      </c>
      <c r="F68" s="3">
        <v>16</v>
      </c>
      <c r="G68" s="3">
        <v>16</v>
      </c>
      <c r="H68" s="6">
        <f>(F68+G68)/2</f>
        <v>16</v>
      </c>
      <c r="I68" s="3">
        <v>15</v>
      </c>
      <c r="J68" s="3">
        <v>30</v>
      </c>
      <c r="K68" s="6">
        <f>(J68+I68)/2</f>
        <v>22.5</v>
      </c>
      <c r="L68" s="6">
        <f t="shared" si="1"/>
        <v>360</v>
      </c>
      <c r="M68" s="3">
        <v>120</v>
      </c>
      <c r="N68" s="3">
        <v>7</v>
      </c>
      <c r="O68" s="3">
        <v>2</v>
      </c>
      <c r="P68" s="3">
        <v>4</v>
      </c>
      <c r="Q68" s="6">
        <f>(P68-O68)/O68</f>
        <v>1</v>
      </c>
      <c r="R68" s="1">
        <v>2087</v>
      </c>
      <c r="S68" s="16">
        <v>0</v>
      </c>
      <c r="T68" s="1">
        <v>1753</v>
      </c>
      <c r="U68" s="3">
        <v>1200</v>
      </c>
      <c r="V68" s="3">
        <v>0</v>
      </c>
      <c r="W68" s="5" t="s">
        <v>148</v>
      </c>
      <c r="X68" s="3">
        <v>0</v>
      </c>
      <c r="Y68" s="3">
        <v>0</v>
      </c>
      <c r="Z68" s="1">
        <v>0</v>
      </c>
      <c r="AA68" s="7">
        <f>((R68-T68)/T68)*100</f>
        <v>19.053051911009696</v>
      </c>
      <c r="AB68" s="3">
        <v>0</v>
      </c>
      <c r="AC68" s="3">
        <v>0</v>
      </c>
      <c r="AD68" s="3">
        <v>0.1</v>
      </c>
      <c r="AE68" s="3">
        <v>0</v>
      </c>
      <c r="AF68" s="3">
        <v>1</v>
      </c>
      <c r="AG68" s="3">
        <f>P68*R68</f>
        <v>8348</v>
      </c>
      <c r="AH68" s="3">
        <f>P68*T68</f>
        <v>7012</v>
      </c>
      <c r="AI68" s="6">
        <f>AG68/U68</f>
        <v>6.956666666666667</v>
      </c>
      <c r="AJ68" s="6">
        <f>AH68/U68</f>
        <v>5.8433333333333337</v>
      </c>
      <c r="AK68" s="3">
        <v>0</v>
      </c>
    </row>
    <row r="69" spans="1:37" x14ac:dyDescent="0.3">
      <c r="A69" s="3">
        <v>68</v>
      </c>
      <c r="B69" t="s">
        <v>149</v>
      </c>
      <c r="C69" s="3" t="s">
        <v>129</v>
      </c>
      <c r="D69" s="3">
        <v>6.5</v>
      </c>
      <c r="E69" s="3">
        <v>1</v>
      </c>
      <c r="F69" s="3">
        <v>18</v>
      </c>
      <c r="G69" s="3">
        <v>18</v>
      </c>
      <c r="H69" s="6">
        <f>(F69+G69)/2</f>
        <v>18</v>
      </c>
      <c r="I69" s="3">
        <v>15</v>
      </c>
      <c r="J69" s="3">
        <v>30</v>
      </c>
      <c r="K69" s="6">
        <f>(J69+I69)/2</f>
        <v>22.5</v>
      </c>
      <c r="L69" s="6">
        <f t="shared" si="1"/>
        <v>405</v>
      </c>
      <c r="M69" s="3">
        <v>120</v>
      </c>
      <c r="N69" s="3">
        <v>9</v>
      </c>
      <c r="O69" s="3">
        <v>2</v>
      </c>
      <c r="P69" s="3">
        <v>4</v>
      </c>
      <c r="Q69" s="6">
        <f>(P69-O69)/O69</f>
        <v>1</v>
      </c>
      <c r="R69" s="1">
        <v>2382</v>
      </c>
      <c r="S69" s="16">
        <v>0.14135122184954479</v>
      </c>
      <c r="T69" s="1">
        <v>2029</v>
      </c>
      <c r="U69" s="3">
        <v>1500</v>
      </c>
      <c r="V69" s="3">
        <v>0</v>
      </c>
      <c r="W69" s="5" t="s">
        <v>150</v>
      </c>
      <c r="X69" s="3">
        <v>0</v>
      </c>
      <c r="Y69" s="3">
        <v>0</v>
      </c>
      <c r="Z69" s="1">
        <v>0</v>
      </c>
      <c r="AA69" s="7">
        <f>((R69-T69)/T69)*100</f>
        <v>17.397732873336619</v>
      </c>
      <c r="AB69" s="3">
        <v>0.2</v>
      </c>
      <c r="AC69" s="3">
        <v>0</v>
      </c>
      <c r="AD69" s="3">
        <v>0.1</v>
      </c>
      <c r="AE69" s="3">
        <v>0</v>
      </c>
      <c r="AF69" s="3">
        <v>1</v>
      </c>
      <c r="AG69" s="3">
        <f>P69*R69</f>
        <v>9528</v>
      </c>
      <c r="AH69" s="3">
        <f>P69*T69</f>
        <v>8116</v>
      </c>
      <c r="AI69" s="6">
        <f>AG69/U69</f>
        <v>6.3520000000000003</v>
      </c>
      <c r="AJ69" s="6">
        <f>AH69/U69</f>
        <v>5.4106666666666667</v>
      </c>
      <c r="AK69" s="3">
        <v>0</v>
      </c>
    </row>
    <row r="70" spans="1:37" x14ac:dyDescent="0.3">
      <c r="A70" s="3">
        <v>69</v>
      </c>
      <c r="B70" t="s">
        <v>151</v>
      </c>
      <c r="C70" s="3" t="s">
        <v>129</v>
      </c>
      <c r="D70" s="3">
        <v>7</v>
      </c>
      <c r="E70" s="3">
        <v>0</v>
      </c>
      <c r="F70" s="3">
        <v>17</v>
      </c>
      <c r="G70" s="3">
        <v>15</v>
      </c>
      <c r="H70" s="6">
        <f>(F70+G70)/2</f>
        <v>16</v>
      </c>
      <c r="I70" s="3">
        <v>25</v>
      </c>
      <c r="J70" s="3">
        <v>50</v>
      </c>
      <c r="K70" s="6">
        <f>(J70+I70)/2</f>
        <v>37.5</v>
      </c>
      <c r="L70" s="6">
        <f t="shared" si="1"/>
        <v>600</v>
      </c>
      <c r="M70" s="3">
        <v>150</v>
      </c>
      <c r="N70" s="3">
        <v>9</v>
      </c>
      <c r="O70" s="3">
        <v>1</v>
      </c>
      <c r="P70" s="3">
        <v>2</v>
      </c>
      <c r="Q70" s="6">
        <f>(P70-O70)/O70</f>
        <v>1</v>
      </c>
      <c r="R70" s="1">
        <v>3388</v>
      </c>
      <c r="S70" s="16">
        <v>0</v>
      </c>
      <c r="T70" s="1">
        <v>2420</v>
      </c>
      <c r="U70" s="3">
        <v>1800</v>
      </c>
      <c r="V70" s="3">
        <v>0</v>
      </c>
      <c r="W70" s="5" t="s">
        <v>152</v>
      </c>
      <c r="X70" s="3">
        <v>0</v>
      </c>
      <c r="Y70" s="3">
        <v>1</v>
      </c>
      <c r="Z70" s="1">
        <v>0</v>
      </c>
      <c r="AA70" s="7">
        <f>((R70-T70)/T70)*100</f>
        <v>40</v>
      </c>
      <c r="AB70" s="3">
        <v>0</v>
      </c>
      <c r="AC70" s="3">
        <v>0</v>
      </c>
      <c r="AD70" s="3">
        <v>0.1</v>
      </c>
      <c r="AE70" s="3">
        <v>0</v>
      </c>
      <c r="AF70" s="3">
        <v>0</v>
      </c>
      <c r="AG70" s="3">
        <f>P70*R70</f>
        <v>6776</v>
      </c>
      <c r="AH70" s="3">
        <f>P70*T70</f>
        <v>4840</v>
      </c>
      <c r="AI70" s="6">
        <f>AG70/U70</f>
        <v>3.7644444444444445</v>
      </c>
      <c r="AJ70" s="6">
        <f>AH70/U70</f>
        <v>2.6888888888888891</v>
      </c>
      <c r="AK70" s="3">
        <v>1</v>
      </c>
    </row>
    <row r="71" spans="1:37" x14ac:dyDescent="0.3">
      <c r="A71" s="3">
        <v>70</v>
      </c>
      <c r="B71" t="s">
        <v>153</v>
      </c>
      <c r="C71" s="3" t="s">
        <v>129</v>
      </c>
      <c r="D71" s="3">
        <v>7.5</v>
      </c>
      <c r="E71" s="3">
        <v>1</v>
      </c>
      <c r="F71" s="3">
        <v>19</v>
      </c>
      <c r="G71" s="3">
        <v>17</v>
      </c>
      <c r="H71" s="6">
        <f>(F71+G71)/2</f>
        <v>18</v>
      </c>
      <c r="I71" s="3">
        <v>25</v>
      </c>
      <c r="J71" s="3">
        <v>50</v>
      </c>
      <c r="K71" s="6">
        <f>(J71+I71)/2</f>
        <v>37.5</v>
      </c>
      <c r="L71" s="6">
        <f t="shared" si="1"/>
        <v>675</v>
      </c>
      <c r="M71" s="3">
        <v>200</v>
      </c>
      <c r="N71" s="3">
        <v>14</v>
      </c>
      <c r="O71" s="3">
        <v>1</v>
      </c>
      <c r="P71" s="3">
        <v>2</v>
      </c>
      <c r="Q71" s="6">
        <f>(P71-O71)/O71</f>
        <v>1</v>
      </c>
      <c r="R71" s="1">
        <v>4696</v>
      </c>
      <c r="S71" s="16">
        <v>0.38606847697756791</v>
      </c>
      <c r="T71" s="1">
        <v>3228</v>
      </c>
      <c r="U71" s="3">
        <v>3000</v>
      </c>
      <c r="V71" s="3">
        <v>1</v>
      </c>
      <c r="W71" s="5" t="s">
        <v>154</v>
      </c>
      <c r="X71" s="3">
        <v>0</v>
      </c>
      <c r="Y71" s="3">
        <v>1</v>
      </c>
      <c r="Z71" s="1">
        <v>0</v>
      </c>
      <c r="AA71" s="7">
        <f>((R71-T71)/T71)*100</f>
        <v>45.477075588599753</v>
      </c>
      <c r="AB71" s="3">
        <v>0</v>
      </c>
      <c r="AC71" s="3">
        <v>1</v>
      </c>
      <c r="AD71" s="3">
        <v>0.1</v>
      </c>
      <c r="AE71" s="3">
        <v>0</v>
      </c>
      <c r="AF71" s="3">
        <v>0</v>
      </c>
      <c r="AG71" s="3">
        <f>P71*R71</f>
        <v>9392</v>
      </c>
      <c r="AH71" s="3">
        <f>P71*T71</f>
        <v>6456</v>
      </c>
      <c r="AI71" s="6">
        <f>AG71/U71</f>
        <v>3.1306666666666665</v>
      </c>
      <c r="AJ71" s="6">
        <f>AH71/U71</f>
        <v>2.1520000000000001</v>
      </c>
      <c r="AK71" s="3">
        <v>1</v>
      </c>
    </row>
    <row r="72" spans="1:37" x14ac:dyDescent="0.3">
      <c r="A72" s="3">
        <v>71</v>
      </c>
      <c r="B72" t="s">
        <v>155</v>
      </c>
      <c r="C72" s="3" t="s">
        <v>156</v>
      </c>
      <c r="D72" s="3">
        <v>1</v>
      </c>
      <c r="E72" s="3">
        <v>0</v>
      </c>
      <c r="F72" s="3">
        <v>4</v>
      </c>
      <c r="G72" s="3">
        <v>3</v>
      </c>
      <c r="H72" s="6">
        <f>(F72+G72)/2</f>
        <v>3.5</v>
      </c>
      <c r="I72" s="3">
        <v>1</v>
      </c>
      <c r="J72" s="3">
        <v>3</v>
      </c>
      <c r="K72" s="6">
        <f>(J72+I72)/2</f>
        <v>2</v>
      </c>
      <c r="L72" s="6">
        <f t="shared" si="1"/>
        <v>7</v>
      </c>
      <c r="M72" s="3">
        <v>5</v>
      </c>
      <c r="N72" s="3">
        <v>4</v>
      </c>
      <c r="O72" s="3">
        <v>14</v>
      </c>
      <c r="P72" s="3">
        <v>35</v>
      </c>
      <c r="Q72" s="6">
        <f>(P72-O72)/O72</f>
        <v>1.5</v>
      </c>
      <c r="R72" s="1">
        <v>59</v>
      </c>
      <c r="S72" s="16">
        <v>0</v>
      </c>
      <c r="T72" s="1">
        <v>73</v>
      </c>
      <c r="U72" s="3">
        <v>50</v>
      </c>
      <c r="V72" s="3">
        <v>0</v>
      </c>
      <c r="W72" s="5" t="s">
        <v>157</v>
      </c>
      <c r="X72" s="3">
        <v>0</v>
      </c>
      <c r="Y72" s="3">
        <v>0</v>
      </c>
      <c r="Z72" s="1">
        <v>0</v>
      </c>
      <c r="AA72" s="7">
        <f>((R72-T72)/T72)*100</f>
        <v>-19.17808219178082</v>
      </c>
      <c r="AB72" s="3">
        <v>0</v>
      </c>
      <c r="AC72" s="3">
        <v>0</v>
      </c>
      <c r="AD72" s="3">
        <v>0.03</v>
      </c>
      <c r="AE72" s="3">
        <v>0</v>
      </c>
      <c r="AF72" s="3">
        <v>0</v>
      </c>
      <c r="AG72" s="3">
        <f>P72*R72</f>
        <v>2065</v>
      </c>
      <c r="AH72" s="3">
        <f>P72*T72</f>
        <v>2555</v>
      </c>
      <c r="AI72" s="6">
        <f>AG72/U72</f>
        <v>41.3</v>
      </c>
      <c r="AJ72" s="6">
        <f>AH72/U72</f>
        <v>51.1</v>
      </c>
      <c r="AK72" s="3">
        <v>0</v>
      </c>
    </row>
    <row r="73" spans="1:37" x14ac:dyDescent="0.3">
      <c r="A73" s="3">
        <v>72</v>
      </c>
      <c r="B73" t="s">
        <v>158</v>
      </c>
      <c r="C73" s="3" t="s">
        <v>156</v>
      </c>
      <c r="D73" s="3">
        <v>1.5</v>
      </c>
      <c r="E73" s="3">
        <v>1</v>
      </c>
      <c r="F73" s="3">
        <v>5</v>
      </c>
      <c r="G73" s="3">
        <v>4</v>
      </c>
      <c r="H73" s="6">
        <f>(F73+G73)/2</f>
        <v>4.5</v>
      </c>
      <c r="I73" s="3">
        <v>1</v>
      </c>
      <c r="J73" s="3">
        <v>3</v>
      </c>
      <c r="K73" s="6">
        <f>(J73+I73)/2</f>
        <v>2</v>
      </c>
      <c r="L73" s="6">
        <f t="shared" si="1"/>
        <v>9</v>
      </c>
      <c r="M73" s="3">
        <v>6</v>
      </c>
      <c r="N73" s="3">
        <v>5</v>
      </c>
      <c r="O73" s="3">
        <v>14</v>
      </c>
      <c r="P73" s="3">
        <v>35</v>
      </c>
      <c r="Q73" s="6">
        <f>(P73-O73)/O73</f>
        <v>1.5</v>
      </c>
      <c r="R73" s="1">
        <v>84</v>
      </c>
      <c r="S73" s="16">
        <v>0.42372881355932202</v>
      </c>
      <c r="T73" s="1">
        <v>84</v>
      </c>
      <c r="U73" s="3">
        <v>65</v>
      </c>
      <c r="V73" s="3">
        <v>0</v>
      </c>
      <c r="W73" s="5" t="s">
        <v>157</v>
      </c>
      <c r="X73" s="3">
        <v>0</v>
      </c>
      <c r="Y73" s="3">
        <v>0</v>
      </c>
      <c r="Z73" s="1">
        <v>0</v>
      </c>
      <c r="AA73" s="7">
        <f>((R73-T73)/T73)*100</f>
        <v>0</v>
      </c>
      <c r="AB73" s="3">
        <v>0</v>
      </c>
      <c r="AC73" s="3">
        <v>0</v>
      </c>
      <c r="AD73" s="3">
        <v>0.03</v>
      </c>
      <c r="AE73" s="3">
        <v>0</v>
      </c>
      <c r="AF73" s="3">
        <v>0</v>
      </c>
      <c r="AG73" s="3">
        <f>P73*R73</f>
        <v>2940</v>
      </c>
      <c r="AH73" s="3">
        <f>P73*T73</f>
        <v>2940</v>
      </c>
      <c r="AI73" s="6">
        <f>AG73/U73</f>
        <v>45.230769230769234</v>
      </c>
      <c r="AJ73" s="6">
        <f>AH73/U73</f>
        <v>45.230769230769234</v>
      </c>
      <c r="AK73" s="3">
        <v>0</v>
      </c>
    </row>
    <row r="74" spans="1:37" x14ac:dyDescent="0.3">
      <c r="A74" s="3">
        <v>73</v>
      </c>
      <c r="B74" t="s">
        <v>159</v>
      </c>
      <c r="C74" s="3" t="s">
        <v>156</v>
      </c>
      <c r="D74" s="3">
        <v>2</v>
      </c>
      <c r="E74" s="3">
        <v>0</v>
      </c>
      <c r="F74" s="3">
        <v>6</v>
      </c>
      <c r="G74" s="3">
        <v>5</v>
      </c>
      <c r="H74" s="6">
        <f>(F74+G74)/2</f>
        <v>5.5</v>
      </c>
      <c r="I74" s="3">
        <v>1</v>
      </c>
      <c r="J74" s="3">
        <v>4</v>
      </c>
      <c r="K74" s="6">
        <f>(J74+I74)/2</f>
        <v>2.5</v>
      </c>
      <c r="L74" s="6">
        <f t="shared" si="1"/>
        <v>13.75</v>
      </c>
      <c r="M74" s="3">
        <v>14</v>
      </c>
      <c r="N74" s="3">
        <v>6</v>
      </c>
      <c r="O74" s="3">
        <v>8</v>
      </c>
      <c r="P74" s="3">
        <v>16</v>
      </c>
      <c r="Q74" s="6">
        <f>(P74-O74)/O74</f>
        <v>1</v>
      </c>
      <c r="R74" s="1">
        <v>154</v>
      </c>
      <c r="S74" s="16">
        <v>0</v>
      </c>
      <c r="T74" s="1">
        <v>140</v>
      </c>
      <c r="U74" s="3">
        <v>130</v>
      </c>
      <c r="V74" s="3">
        <v>0</v>
      </c>
      <c r="W74" s="5" t="s">
        <v>160</v>
      </c>
      <c r="X74" s="3">
        <v>0</v>
      </c>
      <c r="Y74" s="3">
        <v>1</v>
      </c>
      <c r="Z74" s="1">
        <v>0</v>
      </c>
      <c r="AA74" s="7">
        <f>((R74-T74)/T74)*100</f>
        <v>10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f>P74*R74</f>
        <v>2464</v>
      </c>
      <c r="AH74" s="3">
        <f>P74*T74</f>
        <v>2240</v>
      </c>
      <c r="AI74" s="6">
        <f>AG74/U74</f>
        <v>18.953846153846154</v>
      </c>
      <c r="AJ74" s="6">
        <f>AH74/U74</f>
        <v>17.23076923076923</v>
      </c>
      <c r="AK74" s="3">
        <v>1</v>
      </c>
    </row>
    <row r="75" spans="1:37" x14ac:dyDescent="0.3">
      <c r="A75" s="3">
        <v>74</v>
      </c>
      <c r="B75" t="s">
        <v>161</v>
      </c>
      <c r="C75" s="3" t="s">
        <v>156</v>
      </c>
      <c r="D75" s="3">
        <v>2.5</v>
      </c>
      <c r="E75" s="3">
        <v>1</v>
      </c>
      <c r="F75" s="3">
        <v>6</v>
      </c>
      <c r="G75" s="3">
        <v>6</v>
      </c>
      <c r="H75" s="6">
        <f>(F75+G75)/2</f>
        <v>6</v>
      </c>
      <c r="I75" s="3">
        <v>1</v>
      </c>
      <c r="J75" s="3">
        <v>4</v>
      </c>
      <c r="K75" s="6">
        <f>(J75+I75)/2</f>
        <v>2.5</v>
      </c>
      <c r="L75" s="6">
        <f t="shared" si="1"/>
        <v>15</v>
      </c>
      <c r="M75" s="3">
        <v>14</v>
      </c>
      <c r="N75" s="3">
        <v>9</v>
      </c>
      <c r="O75" s="3">
        <v>8</v>
      </c>
      <c r="P75" s="3">
        <v>16</v>
      </c>
      <c r="Q75" s="6">
        <f>(P75-O75)/O75</f>
        <v>1</v>
      </c>
      <c r="R75" s="1">
        <v>238</v>
      </c>
      <c r="S75" s="16">
        <v>0.54545454545454541</v>
      </c>
      <c r="T75" s="1">
        <v>196</v>
      </c>
      <c r="U75" s="3">
        <v>170</v>
      </c>
      <c r="V75" s="3">
        <v>0</v>
      </c>
      <c r="W75" s="5" t="s">
        <v>162</v>
      </c>
      <c r="X75" s="3">
        <v>0</v>
      </c>
      <c r="Y75" s="3">
        <v>1</v>
      </c>
      <c r="Z75" s="1">
        <v>1</v>
      </c>
      <c r="AA75" s="7">
        <f>((R75-T75)/T75)*100</f>
        <v>21.428571428571427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f>P75*R75</f>
        <v>3808</v>
      </c>
      <c r="AH75" s="3">
        <f>P75*T75</f>
        <v>3136</v>
      </c>
      <c r="AI75" s="6">
        <f>AG75/U75</f>
        <v>22.4</v>
      </c>
      <c r="AJ75" s="6">
        <f>AH75/U75</f>
        <v>18.44705882352941</v>
      </c>
      <c r="AK75" s="3">
        <v>1</v>
      </c>
    </row>
    <row r="76" spans="1:37" x14ac:dyDescent="0.3">
      <c r="A76" s="3">
        <v>75</v>
      </c>
      <c r="B76" t="s">
        <v>163</v>
      </c>
      <c r="C76" s="3" t="s">
        <v>156</v>
      </c>
      <c r="D76" s="3">
        <v>3</v>
      </c>
      <c r="E76" s="3">
        <v>0</v>
      </c>
      <c r="F76" s="3">
        <v>9</v>
      </c>
      <c r="G76" s="3">
        <v>7</v>
      </c>
      <c r="H76" s="6">
        <f>(F76+G76)/2</f>
        <v>8</v>
      </c>
      <c r="I76" s="3">
        <v>3</v>
      </c>
      <c r="J76" s="3">
        <v>5</v>
      </c>
      <c r="K76" s="6">
        <f>(J76+I76)/2</f>
        <v>4</v>
      </c>
      <c r="L76" s="6">
        <f t="shared" si="1"/>
        <v>32</v>
      </c>
      <c r="M76" s="3">
        <v>22</v>
      </c>
      <c r="N76" s="3">
        <v>5</v>
      </c>
      <c r="O76" s="3">
        <v>7</v>
      </c>
      <c r="P76" s="3">
        <v>14</v>
      </c>
      <c r="Q76" s="6">
        <f>(P76-O76)/O76</f>
        <v>1</v>
      </c>
      <c r="R76" s="1">
        <v>336</v>
      </c>
      <c r="S76" s="16">
        <v>0</v>
      </c>
      <c r="T76" s="1">
        <v>240</v>
      </c>
      <c r="U76" s="3">
        <v>250</v>
      </c>
      <c r="V76" s="3">
        <v>0</v>
      </c>
      <c r="W76" s="5" t="s">
        <v>164</v>
      </c>
      <c r="X76" s="3">
        <v>1</v>
      </c>
      <c r="Y76" s="3">
        <v>0</v>
      </c>
      <c r="Z76" s="1">
        <v>0</v>
      </c>
      <c r="AA76" s="7">
        <f>((R76-T76)/T76)*100</f>
        <v>40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f>P76*R76</f>
        <v>4704</v>
      </c>
      <c r="AH76" s="3">
        <f>P76*T76</f>
        <v>3360</v>
      </c>
      <c r="AI76" s="6">
        <f>AG76/U76</f>
        <v>18.815999999999999</v>
      </c>
      <c r="AJ76" s="6">
        <f>AH76/U76</f>
        <v>13.44</v>
      </c>
      <c r="AK76" s="3">
        <v>1</v>
      </c>
    </row>
    <row r="77" spans="1:37" x14ac:dyDescent="0.3">
      <c r="A77" s="3">
        <v>76</v>
      </c>
      <c r="B77" t="s">
        <v>165</v>
      </c>
      <c r="C77" s="3" t="s">
        <v>156</v>
      </c>
      <c r="D77" s="3">
        <v>3.5</v>
      </c>
      <c r="E77" s="3">
        <v>1</v>
      </c>
      <c r="F77" s="3">
        <v>10</v>
      </c>
      <c r="G77" s="3">
        <v>8</v>
      </c>
      <c r="H77" s="6">
        <f>(F77+G77)/2</f>
        <v>9</v>
      </c>
      <c r="I77" s="3">
        <v>3</v>
      </c>
      <c r="J77" s="3">
        <v>5</v>
      </c>
      <c r="K77" s="6">
        <f>(J77+I77)/2</f>
        <v>4</v>
      </c>
      <c r="L77" s="6">
        <f t="shared" si="1"/>
        <v>36</v>
      </c>
      <c r="M77" s="3">
        <v>22</v>
      </c>
      <c r="N77" s="3">
        <v>7</v>
      </c>
      <c r="O77" s="3">
        <v>7</v>
      </c>
      <c r="P77" s="3">
        <v>14</v>
      </c>
      <c r="Q77" s="6">
        <f>(P77-O77)/O77</f>
        <v>1</v>
      </c>
      <c r="R77" s="1">
        <v>367</v>
      </c>
      <c r="S77" s="16">
        <v>9.2261904761904767E-2</v>
      </c>
      <c r="T77" s="1">
        <v>245</v>
      </c>
      <c r="U77" s="3">
        <v>280</v>
      </c>
      <c r="V77" s="3">
        <v>0</v>
      </c>
      <c r="W77" s="5" t="s">
        <v>50</v>
      </c>
      <c r="X77" s="3">
        <v>1</v>
      </c>
      <c r="Y77" s="3">
        <v>0</v>
      </c>
      <c r="Z77" s="1">
        <v>0</v>
      </c>
      <c r="AA77" s="7">
        <f>((R77-T77)/T77)*100</f>
        <v>49.795918367346935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f>P77*R77</f>
        <v>5138</v>
      </c>
      <c r="AH77" s="3">
        <f>P77*T77</f>
        <v>3430</v>
      </c>
      <c r="AI77" s="6">
        <f>AG77/U77</f>
        <v>18.350000000000001</v>
      </c>
      <c r="AJ77" s="6">
        <f>AH77/U77</f>
        <v>12.25</v>
      </c>
      <c r="AK77" s="3">
        <v>1</v>
      </c>
    </row>
    <row r="78" spans="1:37" x14ac:dyDescent="0.3">
      <c r="A78" s="3">
        <v>77</v>
      </c>
      <c r="B78" t="s">
        <v>166</v>
      </c>
      <c r="C78" s="3" t="s">
        <v>156</v>
      </c>
      <c r="D78" s="3">
        <v>4</v>
      </c>
      <c r="E78" s="3">
        <v>0</v>
      </c>
      <c r="F78" s="3">
        <v>9</v>
      </c>
      <c r="G78" s="3">
        <v>9</v>
      </c>
      <c r="H78" s="6">
        <f>(F78+G78)/2</f>
        <v>9</v>
      </c>
      <c r="I78" s="3">
        <v>6</v>
      </c>
      <c r="J78" s="3">
        <v>8</v>
      </c>
      <c r="K78" s="6">
        <f>(J78+I78)/2</f>
        <v>7</v>
      </c>
      <c r="L78" s="6">
        <f t="shared" si="1"/>
        <v>63</v>
      </c>
      <c r="M78" s="3">
        <v>25</v>
      </c>
      <c r="N78" s="3">
        <v>5</v>
      </c>
      <c r="O78" s="3">
        <v>4</v>
      </c>
      <c r="P78" s="3">
        <v>8</v>
      </c>
      <c r="Q78" s="6">
        <f>(P78-O78)/O78</f>
        <v>1</v>
      </c>
      <c r="R78" s="1">
        <v>517</v>
      </c>
      <c r="S78" s="16">
        <v>0</v>
      </c>
      <c r="T78" s="1">
        <v>379</v>
      </c>
      <c r="U78" s="3">
        <v>300</v>
      </c>
      <c r="V78" s="3">
        <v>0</v>
      </c>
      <c r="W78" s="5" t="s">
        <v>167</v>
      </c>
      <c r="X78" s="3">
        <v>1</v>
      </c>
      <c r="Y78" s="3">
        <v>0</v>
      </c>
      <c r="Z78" s="1">
        <v>0.2</v>
      </c>
      <c r="AA78" s="7">
        <f>((R78-T78)/T78)*100</f>
        <v>36.41160949868074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f>P78*R78</f>
        <v>4136</v>
      </c>
      <c r="AH78" s="3">
        <f>P78*T78</f>
        <v>3032</v>
      </c>
      <c r="AI78" s="6">
        <f>AG78/U78</f>
        <v>13.786666666666667</v>
      </c>
      <c r="AJ78" s="6">
        <f>AH78/U78</f>
        <v>10.106666666666667</v>
      </c>
      <c r="AK78" s="3">
        <v>1</v>
      </c>
    </row>
    <row r="79" spans="1:37" x14ac:dyDescent="0.3">
      <c r="A79" s="3">
        <v>78</v>
      </c>
      <c r="B79" t="s">
        <v>168</v>
      </c>
      <c r="C79" s="3" t="s">
        <v>156</v>
      </c>
      <c r="D79" s="3">
        <v>4.5</v>
      </c>
      <c r="E79" s="3">
        <v>1</v>
      </c>
      <c r="F79" s="3">
        <v>10</v>
      </c>
      <c r="G79" s="3">
        <v>10</v>
      </c>
      <c r="H79" s="6">
        <f>(F79+G79)/2</f>
        <v>10</v>
      </c>
      <c r="I79" s="3">
        <v>6</v>
      </c>
      <c r="J79" s="3">
        <v>8</v>
      </c>
      <c r="K79" s="6">
        <f>(J79+I79)/2</f>
        <v>7</v>
      </c>
      <c r="L79" s="6">
        <f t="shared" si="1"/>
        <v>70</v>
      </c>
      <c r="M79" s="3">
        <v>30</v>
      </c>
      <c r="N79" s="3">
        <v>6</v>
      </c>
      <c r="O79" s="3">
        <v>4</v>
      </c>
      <c r="P79" s="3">
        <v>8</v>
      </c>
      <c r="Q79" s="6">
        <f>(P79-O79)/O79</f>
        <v>1</v>
      </c>
      <c r="R79" s="1">
        <v>577</v>
      </c>
      <c r="S79" s="16">
        <v>0.11605415860735009</v>
      </c>
      <c r="T79" s="1">
        <v>423</v>
      </c>
      <c r="U79" s="3">
        <v>330</v>
      </c>
      <c r="V79" s="3">
        <v>0</v>
      </c>
      <c r="W79" s="5" t="s">
        <v>169</v>
      </c>
      <c r="X79" s="3">
        <v>1</v>
      </c>
      <c r="Y79" s="3">
        <v>0</v>
      </c>
      <c r="Z79" s="1">
        <v>0.2</v>
      </c>
      <c r="AA79" s="7">
        <f>((R79-T79)/T79)*100</f>
        <v>36.406619385342793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f>P79*R79</f>
        <v>4616</v>
      </c>
      <c r="AH79" s="3">
        <f>P79*T79</f>
        <v>3384</v>
      </c>
      <c r="AI79" s="6">
        <f>AG79/U79</f>
        <v>13.987878787878788</v>
      </c>
      <c r="AJ79" s="6">
        <f>AH79/U79</f>
        <v>10.254545454545454</v>
      </c>
      <c r="AK79" s="3">
        <v>1</v>
      </c>
    </row>
    <row r="80" spans="1:37" x14ac:dyDescent="0.3">
      <c r="A80" s="3">
        <v>79</v>
      </c>
      <c r="B80" t="s">
        <v>170</v>
      </c>
      <c r="C80" s="3" t="s">
        <v>156</v>
      </c>
      <c r="D80" s="3">
        <v>5</v>
      </c>
      <c r="E80" s="3">
        <v>0</v>
      </c>
      <c r="F80" s="3">
        <v>14</v>
      </c>
      <c r="G80" s="3">
        <v>12</v>
      </c>
      <c r="H80" s="6">
        <f>(F80+G80)/2</f>
        <v>13</v>
      </c>
      <c r="I80" s="3">
        <v>12</v>
      </c>
      <c r="J80" s="3">
        <v>20</v>
      </c>
      <c r="K80" s="6">
        <f>(J80+I80)/2</f>
        <v>16</v>
      </c>
      <c r="L80" s="6">
        <f t="shared" si="1"/>
        <v>208</v>
      </c>
      <c r="M80" s="3">
        <v>50</v>
      </c>
      <c r="N80" s="3">
        <v>6</v>
      </c>
      <c r="O80" s="3">
        <v>3</v>
      </c>
      <c r="P80" s="3">
        <v>6</v>
      </c>
      <c r="Q80" s="6">
        <f>(P80-O80)/O80</f>
        <v>1</v>
      </c>
      <c r="R80" s="1">
        <v>835</v>
      </c>
      <c r="S80" s="16">
        <v>0</v>
      </c>
      <c r="T80" s="1">
        <v>835</v>
      </c>
      <c r="U80" s="3">
        <v>500</v>
      </c>
      <c r="V80" s="3">
        <v>0</v>
      </c>
      <c r="W80" s="5" t="s">
        <v>171</v>
      </c>
      <c r="X80" s="3">
        <v>0</v>
      </c>
      <c r="Y80" s="3">
        <v>0</v>
      </c>
      <c r="Z80" s="1">
        <v>0</v>
      </c>
      <c r="AA80" s="7">
        <f>((R80-T80)/T80)*100</f>
        <v>0</v>
      </c>
      <c r="AB80" s="1">
        <v>4.2000000000000003E-2</v>
      </c>
      <c r="AC80" s="3">
        <v>0</v>
      </c>
      <c r="AD80" s="3">
        <v>0</v>
      </c>
      <c r="AE80" s="3">
        <v>0</v>
      </c>
      <c r="AF80" s="3">
        <v>0</v>
      </c>
      <c r="AG80" s="3">
        <f>P80*R80</f>
        <v>5010</v>
      </c>
      <c r="AH80" s="3">
        <f>P80*T80</f>
        <v>5010</v>
      </c>
      <c r="AI80" s="6">
        <f>AG80/U80</f>
        <v>10.02</v>
      </c>
      <c r="AJ80" s="6">
        <f>AH80/U80</f>
        <v>10.02</v>
      </c>
      <c r="AK80" s="3">
        <v>0</v>
      </c>
    </row>
    <row r="81" spans="1:37" x14ac:dyDescent="0.3">
      <c r="A81" s="3">
        <v>80</v>
      </c>
      <c r="B81" t="s">
        <v>172</v>
      </c>
      <c r="C81" s="3" t="s">
        <v>156</v>
      </c>
      <c r="D81" s="3">
        <v>5.5</v>
      </c>
      <c r="E81" s="3">
        <v>1</v>
      </c>
      <c r="F81" s="3">
        <v>15</v>
      </c>
      <c r="G81" s="3">
        <v>15</v>
      </c>
      <c r="H81" s="6">
        <f>(F81+G81)/2</f>
        <v>15</v>
      </c>
      <c r="I81" s="3">
        <v>12</v>
      </c>
      <c r="J81" s="3">
        <v>20</v>
      </c>
      <c r="K81" s="6">
        <f>(J81+I81)/2</f>
        <v>16</v>
      </c>
      <c r="L81" s="6">
        <f t="shared" si="1"/>
        <v>240</v>
      </c>
      <c r="M81" s="3">
        <v>50</v>
      </c>
      <c r="N81" s="3">
        <v>8</v>
      </c>
      <c r="O81" s="3">
        <v>3</v>
      </c>
      <c r="P81" s="3">
        <v>6</v>
      </c>
      <c r="Q81" s="6">
        <f>(P81-O81)/O81</f>
        <v>1</v>
      </c>
      <c r="R81" s="1">
        <v>1068</v>
      </c>
      <c r="S81" s="16">
        <v>0.27904191616766466</v>
      </c>
      <c r="T81" s="1">
        <v>890</v>
      </c>
      <c r="U81" s="3">
        <v>575</v>
      </c>
      <c r="V81" s="3">
        <v>0</v>
      </c>
      <c r="W81" s="5" t="s">
        <v>171</v>
      </c>
      <c r="X81" s="3">
        <v>0</v>
      </c>
      <c r="Y81" s="3">
        <v>0</v>
      </c>
      <c r="Z81" s="1">
        <v>0</v>
      </c>
      <c r="AA81" s="7">
        <f>((R81-T81)/T81)*100</f>
        <v>20</v>
      </c>
      <c r="AB81" s="1">
        <v>4.2000000000000003E-2</v>
      </c>
      <c r="AC81" s="3">
        <v>0</v>
      </c>
      <c r="AD81" s="3">
        <v>0</v>
      </c>
      <c r="AE81" s="3">
        <v>0</v>
      </c>
      <c r="AF81" s="3">
        <v>0</v>
      </c>
      <c r="AG81" s="3">
        <f>P81*R81</f>
        <v>6408</v>
      </c>
      <c r="AH81" s="3">
        <f>P81*T81</f>
        <v>5340</v>
      </c>
      <c r="AI81" s="6">
        <f>AG81/U81</f>
        <v>11.144347826086957</v>
      </c>
      <c r="AJ81" s="6">
        <f>AH81/U81</f>
        <v>9.2869565217391301</v>
      </c>
      <c r="AK81" s="3">
        <v>0</v>
      </c>
    </row>
    <row r="82" spans="1:37" x14ac:dyDescent="0.3">
      <c r="A82" s="3">
        <v>81</v>
      </c>
      <c r="B82" t="s">
        <v>173</v>
      </c>
      <c r="C82" s="3" t="s">
        <v>156</v>
      </c>
      <c r="D82" s="3">
        <v>6</v>
      </c>
      <c r="E82" s="3">
        <v>0</v>
      </c>
      <c r="F82" s="3">
        <v>15</v>
      </c>
      <c r="G82" s="3">
        <v>13</v>
      </c>
      <c r="H82" s="6">
        <f>(F82+G82)/2</f>
        <v>14</v>
      </c>
      <c r="I82" s="3">
        <v>14</v>
      </c>
      <c r="J82" s="3">
        <v>20</v>
      </c>
      <c r="K82" s="6">
        <f>(J82+I82)/2</f>
        <v>17</v>
      </c>
      <c r="L82" s="6">
        <f t="shared" si="1"/>
        <v>238</v>
      </c>
      <c r="M82" s="3">
        <v>80</v>
      </c>
      <c r="N82" s="3">
        <v>7</v>
      </c>
      <c r="O82" s="3">
        <v>2</v>
      </c>
      <c r="P82" s="3">
        <v>4</v>
      </c>
      <c r="Q82" s="6">
        <f>(P82-O82)/O82</f>
        <v>1</v>
      </c>
      <c r="R82" s="1">
        <v>1547</v>
      </c>
      <c r="S82" s="16">
        <v>0</v>
      </c>
      <c r="T82" s="1">
        <v>1215</v>
      </c>
      <c r="U82" s="3">
        <v>850</v>
      </c>
      <c r="V82" s="3">
        <v>0</v>
      </c>
      <c r="W82" s="5" t="s">
        <v>174</v>
      </c>
      <c r="X82" s="3">
        <v>0</v>
      </c>
      <c r="Y82" s="3">
        <v>1</v>
      </c>
      <c r="Z82" s="1">
        <v>0</v>
      </c>
      <c r="AA82" s="7">
        <f>((R82-T82)/T82)*100</f>
        <v>27.325102880658434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f>P82*R82</f>
        <v>6188</v>
      </c>
      <c r="AH82" s="3">
        <f>P82*T82</f>
        <v>4860</v>
      </c>
      <c r="AI82" s="6">
        <f>AG82/U82</f>
        <v>7.28</v>
      </c>
      <c r="AJ82" s="6">
        <f>AH82/U82</f>
        <v>5.7176470588235295</v>
      </c>
      <c r="AK82" s="3">
        <v>1</v>
      </c>
    </row>
    <row r="83" spans="1:37" x14ac:dyDescent="0.3">
      <c r="A83" s="3">
        <v>82</v>
      </c>
      <c r="B83" t="s">
        <v>175</v>
      </c>
      <c r="C83" s="3" t="s">
        <v>156</v>
      </c>
      <c r="D83" s="3">
        <v>6.5</v>
      </c>
      <c r="E83" s="3">
        <v>1</v>
      </c>
      <c r="F83" s="3">
        <v>16</v>
      </c>
      <c r="G83" s="3">
        <v>14</v>
      </c>
      <c r="H83" s="6">
        <f>(F83+G83)/2</f>
        <v>15</v>
      </c>
      <c r="I83" s="3">
        <v>14</v>
      </c>
      <c r="J83" s="3">
        <v>20</v>
      </c>
      <c r="K83" s="6">
        <f>(J83+I83)/2</f>
        <v>17</v>
      </c>
      <c r="L83" s="6">
        <f t="shared" si="1"/>
        <v>255</v>
      </c>
      <c r="M83" s="3">
        <v>80</v>
      </c>
      <c r="N83" s="3">
        <v>11</v>
      </c>
      <c r="O83" s="3">
        <v>2</v>
      </c>
      <c r="P83" s="3">
        <v>4</v>
      </c>
      <c r="Q83" s="6">
        <f>(P83-O83)/O83</f>
        <v>1</v>
      </c>
      <c r="R83" s="1">
        <v>1589</v>
      </c>
      <c r="S83" s="16">
        <v>2.7149321266968326E-2</v>
      </c>
      <c r="T83" s="1">
        <v>1248</v>
      </c>
      <c r="U83" s="3">
        <v>1050</v>
      </c>
      <c r="V83" s="3">
        <v>0</v>
      </c>
      <c r="W83" s="5" t="s">
        <v>176</v>
      </c>
      <c r="X83" s="3">
        <v>0</v>
      </c>
      <c r="Y83" s="3">
        <v>1</v>
      </c>
      <c r="Z83" s="1">
        <v>0.2</v>
      </c>
      <c r="AA83" s="7">
        <f>((R83-T83)/T83)*100</f>
        <v>27.323717948717945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f>P83*R83</f>
        <v>6356</v>
      </c>
      <c r="AH83" s="3">
        <f>P83*T83</f>
        <v>4992</v>
      </c>
      <c r="AI83" s="6">
        <f>AG83/U83</f>
        <v>6.0533333333333337</v>
      </c>
      <c r="AJ83" s="6">
        <f>AH83/U83</f>
        <v>4.7542857142857144</v>
      </c>
      <c r="AK83" s="3">
        <v>1</v>
      </c>
    </row>
    <row r="84" spans="1:37" x14ac:dyDescent="0.3">
      <c r="A84" s="3">
        <v>83</v>
      </c>
      <c r="B84" t="s">
        <v>177</v>
      </c>
      <c r="C84" s="3" t="s">
        <v>156</v>
      </c>
      <c r="D84" s="3">
        <v>7</v>
      </c>
      <c r="E84" s="3">
        <v>0</v>
      </c>
      <c r="F84" s="3">
        <v>19</v>
      </c>
      <c r="G84" s="3">
        <v>19</v>
      </c>
      <c r="H84" s="6">
        <f>(F84+G84)/2</f>
        <v>19</v>
      </c>
      <c r="I84" s="3">
        <v>40</v>
      </c>
      <c r="J84" s="3">
        <v>50</v>
      </c>
      <c r="K84" s="6">
        <f>(J84+I84)/2</f>
        <v>45</v>
      </c>
      <c r="L84" s="6">
        <f t="shared" si="1"/>
        <v>855</v>
      </c>
      <c r="M84" s="3">
        <v>180</v>
      </c>
      <c r="N84" s="3">
        <v>11</v>
      </c>
      <c r="O84" s="3">
        <v>1</v>
      </c>
      <c r="P84" s="3">
        <v>2</v>
      </c>
      <c r="Q84" s="6">
        <f>(P84-O84)/O84</f>
        <v>1</v>
      </c>
      <c r="R84" s="1">
        <v>4702</v>
      </c>
      <c r="S84" s="16">
        <v>0</v>
      </c>
      <c r="T84" s="1">
        <v>3762</v>
      </c>
      <c r="U84" s="3">
        <v>2500</v>
      </c>
      <c r="V84" s="3">
        <v>1</v>
      </c>
      <c r="W84" s="5" t="s">
        <v>78</v>
      </c>
      <c r="X84" s="3">
        <v>0</v>
      </c>
      <c r="Y84" s="3">
        <v>1</v>
      </c>
      <c r="Z84" s="1">
        <v>0</v>
      </c>
      <c r="AA84" s="7">
        <f>((R84-T84)/T84)*100</f>
        <v>24.986709197235513</v>
      </c>
      <c r="AB84" s="3">
        <v>0.3</v>
      </c>
      <c r="AC84" s="3">
        <v>0</v>
      </c>
      <c r="AD84" s="3">
        <v>0.5</v>
      </c>
      <c r="AE84" s="3">
        <v>0</v>
      </c>
      <c r="AF84" s="3">
        <v>0</v>
      </c>
      <c r="AG84" s="3">
        <f>P84*R84</f>
        <v>9404</v>
      </c>
      <c r="AH84" s="3">
        <f>P84*T84</f>
        <v>7524</v>
      </c>
      <c r="AI84" s="6">
        <f>AG84/U84</f>
        <v>3.7616000000000001</v>
      </c>
      <c r="AJ84" s="6">
        <f>AH84/U84</f>
        <v>3.0095999999999998</v>
      </c>
      <c r="AK84" s="3">
        <v>1</v>
      </c>
    </row>
    <row r="85" spans="1:37" x14ac:dyDescent="0.3">
      <c r="A85" s="3">
        <v>84</v>
      </c>
      <c r="B85" t="s">
        <v>178</v>
      </c>
      <c r="C85" s="3" t="s">
        <v>156</v>
      </c>
      <c r="D85" s="3">
        <v>7.5</v>
      </c>
      <c r="E85" s="3">
        <v>1</v>
      </c>
      <c r="F85" s="3">
        <v>25</v>
      </c>
      <c r="G85" s="3">
        <v>25</v>
      </c>
      <c r="H85" s="6">
        <f>(F85+G85)/2</f>
        <v>25</v>
      </c>
      <c r="I85" s="3">
        <v>40</v>
      </c>
      <c r="J85" s="3">
        <v>50</v>
      </c>
      <c r="K85" s="6">
        <f>(J85+I85)/2</f>
        <v>45</v>
      </c>
      <c r="L85" s="6">
        <f t="shared" si="1"/>
        <v>1125</v>
      </c>
      <c r="M85" s="3">
        <v>300</v>
      </c>
      <c r="N85" s="3">
        <v>15</v>
      </c>
      <c r="O85" s="3">
        <v>1</v>
      </c>
      <c r="P85" s="3">
        <v>2</v>
      </c>
      <c r="Q85" s="6">
        <f>(P85-O85)/O85</f>
        <v>1</v>
      </c>
      <c r="R85" s="1">
        <v>8721</v>
      </c>
      <c r="S85" s="16">
        <v>0.85474266269672483</v>
      </c>
      <c r="T85" s="1">
        <v>6783</v>
      </c>
      <c r="U85" s="3">
        <v>4000</v>
      </c>
      <c r="V85" s="3">
        <v>2</v>
      </c>
      <c r="W85" s="5" t="s">
        <v>179</v>
      </c>
      <c r="X85" s="3">
        <v>0</v>
      </c>
      <c r="Y85" s="3">
        <v>1</v>
      </c>
      <c r="Z85" s="1">
        <v>0</v>
      </c>
      <c r="AA85" s="7">
        <f>((R85-T85)/T85)*100</f>
        <v>28.571428571428569</v>
      </c>
      <c r="AB85" s="3">
        <v>0.3</v>
      </c>
      <c r="AC85" s="3">
        <v>0</v>
      </c>
      <c r="AD85" s="3">
        <v>1</v>
      </c>
      <c r="AE85" s="3">
        <v>0</v>
      </c>
      <c r="AF85" s="3">
        <v>0</v>
      </c>
      <c r="AG85" s="3">
        <f>P85*R85</f>
        <v>17442</v>
      </c>
      <c r="AH85" s="3">
        <f>P85*T85</f>
        <v>13566</v>
      </c>
      <c r="AI85" s="6">
        <f>AG85/U85</f>
        <v>4.3605</v>
      </c>
      <c r="AJ85" s="6">
        <f>AH85/U85</f>
        <v>3.3915000000000002</v>
      </c>
      <c r="AK85" s="3">
        <v>1</v>
      </c>
    </row>
    <row r="86" spans="1:37" x14ac:dyDescent="0.3">
      <c r="A86" s="3">
        <v>85</v>
      </c>
      <c r="B86" t="s">
        <v>180</v>
      </c>
      <c r="C86" s="3" t="s">
        <v>181</v>
      </c>
      <c r="D86" s="3">
        <v>1</v>
      </c>
      <c r="E86" s="3">
        <v>0</v>
      </c>
      <c r="F86" s="3">
        <v>4</v>
      </c>
      <c r="G86" s="3">
        <v>2</v>
      </c>
      <c r="H86" s="6">
        <f>(F86+G86)/2</f>
        <v>3</v>
      </c>
      <c r="I86" s="3">
        <v>1</v>
      </c>
      <c r="J86" s="3">
        <v>2</v>
      </c>
      <c r="K86" s="6">
        <f>(J86+I86)/2</f>
        <v>1.5</v>
      </c>
      <c r="L86" s="6">
        <f t="shared" si="1"/>
        <v>4.5</v>
      </c>
      <c r="M86" s="3">
        <v>5</v>
      </c>
      <c r="N86" s="3">
        <v>5</v>
      </c>
      <c r="O86" s="3">
        <v>15</v>
      </c>
      <c r="P86" s="3">
        <v>38</v>
      </c>
      <c r="Q86" s="6">
        <f>(P86-O86)/O86</f>
        <v>1.5333333333333334</v>
      </c>
      <c r="R86" s="1">
        <v>60</v>
      </c>
      <c r="S86" s="16">
        <v>0</v>
      </c>
      <c r="T86" s="1">
        <v>60</v>
      </c>
      <c r="U86" s="3">
        <v>40</v>
      </c>
      <c r="V86" s="3">
        <v>0</v>
      </c>
      <c r="W86" s="5" t="s">
        <v>45</v>
      </c>
      <c r="X86" s="3">
        <v>0</v>
      </c>
      <c r="Y86" s="3">
        <v>0</v>
      </c>
      <c r="Z86" s="1">
        <v>0</v>
      </c>
      <c r="AA86" s="7">
        <f>((R86-T86)/T86)*100</f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f>P86*R86</f>
        <v>2280</v>
      </c>
      <c r="AH86" s="3">
        <f>P86*T86</f>
        <v>2280</v>
      </c>
      <c r="AI86" s="6">
        <f>AG86/U86</f>
        <v>57</v>
      </c>
      <c r="AJ86" s="6">
        <f>AH86/U86</f>
        <v>57</v>
      </c>
      <c r="AK86" s="3">
        <v>0</v>
      </c>
    </row>
    <row r="87" spans="1:37" x14ac:dyDescent="0.3">
      <c r="A87" s="3">
        <v>86</v>
      </c>
      <c r="B87" t="s">
        <v>182</v>
      </c>
      <c r="C87" s="3" t="s">
        <v>181</v>
      </c>
      <c r="D87" s="3">
        <v>1.5</v>
      </c>
      <c r="E87" s="3">
        <v>1</v>
      </c>
      <c r="F87" s="3">
        <v>5</v>
      </c>
      <c r="G87" s="3">
        <v>3</v>
      </c>
      <c r="H87" s="6">
        <f>(F87+G87)/2</f>
        <v>4</v>
      </c>
      <c r="I87" s="3">
        <v>1</v>
      </c>
      <c r="J87" s="3">
        <v>2</v>
      </c>
      <c r="K87" s="6">
        <f>(J87+I87)/2</f>
        <v>1.5</v>
      </c>
      <c r="L87" s="6">
        <f t="shared" si="1"/>
        <v>6</v>
      </c>
      <c r="M87" s="3">
        <v>5</v>
      </c>
      <c r="N87" s="3">
        <v>7</v>
      </c>
      <c r="O87" s="3">
        <v>15</v>
      </c>
      <c r="P87" s="3">
        <v>38</v>
      </c>
      <c r="Q87" s="6">
        <f>(P87-O87)/O87</f>
        <v>1.5333333333333334</v>
      </c>
      <c r="R87" s="1">
        <v>78</v>
      </c>
      <c r="S87" s="16">
        <v>0.3</v>
      </c>
      <c r="T87" s="1">
        <v>65</v>
      </c>
      <c r="U87" s="3">
        <v>50</v>
      </c>
      <c r="V87" s="3">
        <v>0</v>
      </c>
      <c r="W87" s="5" t="s">
        <v>45</v>
      </c>
      <c r="X87" s="3">
        <v>0</v>
      </c>
      <c r="Y87" s="3">
        <v>0</v>
      </c>
      <c r="Z87" s="1">
        <v>0</v>
      </c>
      <c r="AA87" s="7">
        <f>((R87-T87)/T87)*100</f>
        <v>20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f>P87*R87</f>
        <v>2964</v>
      </c>
      <c r="AH87" s="3">
        <f>P87*T87</f>
        <v>2470</v>
      </c>
      <c r="AI87" s="6">
        <f>AG87/U87</f>
        <v>59.28</v>
      </c>
      <c r="AJ87" s="6">
        <f>AH87/U87</f>
        <v>49.4</v>
      </c>
      <c r="AK87" s="3">
        <v>0</v>
      </c>
    </row>
    <row r="88" spans="1:37" x14ac:dyDescent="0.3">
      <c r="A88" s="3">
        <v>87</v>
      </c>
      <c r="B88" t="s">
        <v>183</v>
      </c>
      <c r="C88" s="3" t="s">
        <v>181</v>
      </c>
      <c r="D88" s="3">
        <v>2</v>
      </c>
      <c r="E88" s="3">
        <v>0</v>
      </c>
      <c r="F88" s="3">
        <v>7</v>
      </c>
      <c r="G88" s="3">
        <v>5</v>
      </c>
      <c r="H88" s="6">
        <f>(F88+G88)/2</f>
        <v>6</v>
      </c>
      <c r="I88" s="3">
        <v>2</v>
      </c>
      <c r="J88" s="3">
        <v>4</v>
      </c>
      <c r="K88" s="6">
        <f>(J88+I88)/2</f>
        <v>3</v>
      </c>
      <c r="L88" s="6">
        <f t="shared" si="1"/>
        <v>18</v>
      </c>
      <c r="M88" s="3">
        <v>10</v>
      </c>
      <c r="N88" s="3">
        <v>6</v>
      </c>
      <c r="O88" s="3">
        <v>9</v>
      </c>
      <c r="P88" s="3">
        <v>18</v>
      </c>
      <c r="Q88" s="6">
        <f>(P88-O88)/O88</f>
        <v>1</v>
      </c>
      <c r="R88" s="1">
        <v>130</v>
      </c>
      <c r="S88" s="16">
        <v>0</v>
      </c>
      <c r="T88" s="1">
        <v>130</v>
      </c>
      <c r="U88" s="3">
        <v>100</v>
      </c>
      <c r="V88" s="3">
        <v>0</v>
      </c>
      <c r="W88" s="5" t="s">
        <v>45</v>
      </c>
      <c r="X88" s="3">
        <v>0</v>
      </c>
      <c r="Y88" s="3">
        <v>0</v>
      </c>
      <c r="Z88" s="1">
        <v>0</v>
      </c>
      <c r="AA88" s="7">
        <f>((R88-T88)/T88)*100</f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f>P88*R88</f>
        <v>2340</v>
      </c>
      <c r="AH88" s="3">
        <f>P88*T88</f>
        <v>2340</v>
      </c>
      <c r="AI88" s="6">
        <f>AG88/U88</f>
        <v>23.4</v>
      </c>
      <c r="AJ88" s="6">
        <f>AH88/U88</f>
        <v>23.4</v>
      </c>
      <c r="AK88" s="3">
        <v>0</v>
      </c>
    </row>
    <row r="89" spans="1:37" x14ac:dyDescent="0.3">
      <c r="A89" s="3">
        <v>88</v>
      </c>
      <c r="B89" t="s">
        <v>184</v>
      </c>
      <c r="C89" s="3" t="s">
        <v>181</v>
      </c>
      <c r="D89" s="3">
        <v>2.5</v>
      </c>
      <c r="E89" s="3">
        <v>1</v>
      </c>
      <c r="F89" s="3">
        <v>8</v>
      </c>
      <c r="G89" s="3">
        <v>5</v>
      </c>
      <c r="H89" s="6">
        <f>(F89+G89)/2</f>
        <v>6.5</v>
      </c>
      <c r="I89" s="3">
        <v>3</v>
      </c>
      <c r="J89" s="3">
        <v>4</v>
      </c>
      <c r="K89" s="6">
        <f>(J89+I89)/2</f>
        <v>3.5</v>
      </c>
      <c r="L89" s="6">
        <f t="shared" si="1"/>
        <v>22.75</v>
      </c>
      <c r="M89" s="3">
        <v>10</v>
      </c>
      <c r="N89" s="3">
        <v>8</v>
      </c>
      <c r="O89" s="3">
        <v>9</v>
      </c>
      <c r="P89" s="3">
        <v>18</v>
      </c>
      <c r="Q89" s="6">
        <f>(P89-O89)/O89</f>
        <v>1</v>
      </c>
      <c r="R89" s="1">
        <v>203</v>
      </c>
      <c r="S89" s="16">
        <v>0.56153846153846154</v>
      </c>
      <c r="T89" s="1">
        <v>174</v>
      </c>
      <c r="U89" s="3">
        <v>140</v>
      </c>
      <c r="V89" s="3">
        <v>0</v>
      </c>
      <c r="W89" s="5" t="s">
        <v>47</v>
      </c>
      <c r="X89" s="3">
        <v>0</v>
      </c>
      <c r="Y89" s="3">
        <v>0</v>
      </c>
      <c r="Z89" s="1">
        <v>0</v>
      </c>
      <c r="AA89" s="7">
        <f>((R89-T89)/T89)*100</f>
        <v>16.666666666666664</v>
      </c>
      <c r="AB89" s="3">
        <v>1</v>
      </c>
      <c r="AC89" s="3">
        <v>0</v>
      </c>
      <c r="AD89" s="3">
        <v>0</v>
      </c>
      <c r="AE89" s="3">
        <v>0</v>
      </c>
      <c r="AF89" s="3">
        <v>0</v>
      </c>
      <c r="AG89" s="3">
        <f>P89*R89</f>
        <v>3654</v>
      </c>
      <c r="AH89" s="3">
        <f>P89*T89</f>
        <v>3132</v>
      </c>
      <c r="AI89" s="6">
        <f>AG89/U89</f>
        <v>26.1</v>
      </c>
      <c r="AJ89" s="6">
        <f>AH89/U89</f>
        <v>22.37142857142857</v>
      </c>
      <c r="AK89" s="3">
        <v>0</v>
      </c>
    </row>
    <row r="90" spans="1:37" x14ac:dyDescent="0.3">
      <c r="A90" s="3">
        <v>89</v>
      </c>
      <c r="B90" t="s">
        <v>185</v>
      </c>
      <c r="C90" s="3" t="s">
        <v>181</v>
      </c>
      <c r="D90" s="3">
        <v>3</v>
      </c>
      <c r="E90" s="3">
        <v>0</v>
      </c>
      <c r="F90" s="3">
        <v>8</v>
      </c>
      <c r="G90" s="3">
        <v>4</v>
      </c>
      <c r="H90" s="6">
        <f>(F90+G90)/2</f>
        <v>6</v>
      </c>
      <c r="I90" s="3">
        <v>2</v>
      </c>
      <c r="J90" s="3">
        <v>5</v>
      </c>
      <c r="K90" s="6">
        <f>(J90+I90)/2</f>
        <v>3.5</v>
      </c>
      <c r="L90" s="6">
        <f t="shared" si="1"/>
        <v>21</v>
      </c>
      <c r="M90" s="3">
        <v>15</v>
      </c>
      <c r="N90" s="3">
        <v>4</v>
      </c>
      <c r="O90" s="3">
        <v>7</v>
      </c>
      <c r="P90" s="3">
        <v>14</v>
      </c>
      <c r="Q90" s="6">
        <f>(P90-O90)/O90</f>
        <v>1</v>
      </c>
      <c r="R90" s="1">
        <v>192</v>
      </c>
      <c r="S90" s="16">
        <v>0</v>
      </c>
      <c r="T90" s="1">
        <v>175</v>
      </c>
      <c r="U90" s="3">
        <v>150</v>
      </c>
      <c r="V90" s="3">
        <v>0</v>
      </c>
      <c r="W90" s="5" t="s">
        <v>37</v>
      </c>
      <c r="X90" s="3">
        <v>1</v>
      </c>
      <c r="Y90" s="3">
        <v>0</v>
      </c>
      <c r="Z90" s="1">
        <v>0</v>
      </c>
      <c r="AA90" s="7">
        <f>((R90-T90)/T90)*100</f>
        <v>9.7142857142857135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f>P90*R90</f>
        <v>2688</v>
      </c>
      <c r="AH90" s="3">
        <f>P90*T90</f>
        <v>2450</v>
      </c>
      <c r="AI90" s="6">
        <f>AG90/U90</f>
        <v>17.920000000000002</v>
      </c>
      <c r="AJ90" s="6">
        <f>AH90/U90</f>
        <v>16.333333333333332</v>
      </c>
      <c r="AK90" s="3">
        <v>1</v>
      </c>
    </row>
    <row r="91" spans="1:37" x14ac:dyDescent="0.3">
      <c r="A91" s="3">
        <v>90</v>
      </c>
      <c r="B91" t="s">
        <v>186</v>
      </c>
      <c r="C91" s="3" t="s">
        <v>181</v>
      </c>
      <c r="D91" s="3">
        <v>3.5</v>
      </c>
      <c r="E91" s="3">
        <v>1</v>
      </c>
      <c r="F91" s="3">
        <v>8</v>
      </c>
      <c r="G91" s="3">
        <v>4</v>
      </c>
      <c r="H91" s="6">
        <f>(F91+G91)/2</f>
        <v>6</v>
      </c>
      <c r="I91" s="3">
        <v>2</v>
      </c>
      <c r="J91" s="3">
        <v>5</v>
      </c>
      <c r="K91" s="6">
        <f>(J91+I91)/2</f>
        <v>3.5</v>
      </c>
      <c r="L91" s="6">
        <f t="shared" si="1"/>
        <v>21</v>
      </c>
      <c r="M91" s="3">
        <v>20</v>
      </c>
      <c r="N91" s="3">
        <v>5</v>
      </c>
      <c r="O91" s="3">
        <v>7</v>
      </c>
      <c r="P91" s="3">
        <v>14</v>
      </c>
      <c r="Q91" s="6">
        <f>(P91-O91)/O91</f>
        <v>1</v>
      </c>
      <c r="R91" s="1">
        <v>240</v>
      </c>
      <c r="S91" s="16">
        <v>0.25</v>
      </c>
      <c r="T91" s="1">
        <v>200</v>
      </c>
      <c r="U91" s="3">
        <v>165</v>
      </c>
      <c r="V91" s="3">
        <v>0</v>
      </c>
      <c r="W91" s="5" t="s">
        <v>66</v>
      </c>
      <c r="X91" s="3">
        <v>1</v>
      </c>
      <c r="Y91" s="3">
        <v>0</v>
      </c>
      <c r="Z91" s="1">
        <v>0</v>
      </c>
      <c r="AA91" s="7">
        <f>((R91-T91)/T91)*100</f>
        <v>20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f>P91*R91</f>
        <v>3360</v>
      </c>
      <c r="AH91" s="3">
        <f>P91*T91</f>
        <v>2800</v>
      </c>
      <c r="AI91" s="6">
        <f>AG91/U91</f>
        <v>20.363636363636363</v>
      </c>
      <c r="AJ91" s="6">
        <f>AH91/U91</f>
        <v>16.969696969696969</v>
      </c>
      <c r="AK91" s="3">
        <v>1</v>
      </c>
    </row>
    <row r="92" spans="1:37" x14ac:dyDescent="0.3">
      <c r="A92" s="3">
        <v>91</v>
      </c>
      <c r="B92" t="s">
        <v>187</v>
      </c>
      <c r="C92" s="3" t="s">
        <v>181</v>
      </c>
      <c r="D92" s="3">
        <v>4</v>
      </c>
      <c r="E92" s="3">
        <v>0</v>
      </c>
      <c r="F92" s="3">
        <v>13</v>
      </c>
      <c r="G92" s="3">
        <v>7</v>
      </c>
      <c r="H92" s="6">
        <f>(F92+G92)/2</f>
        <v>10</v>
      </c>
      <c r="I92" s="3">
        <v>6</v>
      </c>
      <c r="J92" s="3">
        <v>12</v>
      </c>
      <c r="K92" s="6">
        <f>(J92+I92)/2</f>
        <v>9</v>
      </c>
      <c r="L92" s="6">
        <f t="shared" si="1"/>
        <v>90</v>
      </c>
      <c r="M92" s="3">
        <v>40</v>
      </c>
      <c r="N92" s="3">
        <v>4</v>
      </c>
      <c r="O92" s="3">
        <v>4</v>
      </c>
      <c r="P92" s="3">
        <v>8</v>
      </c>
      <c r="Q92" s="6">
        <f>(P92-O92)/O92</f>
        <v>1</v>
      </c>
      <c r="R92" s="1">
        <v>416</v>
      </c>
      <c r="S92" s="16">
        <v>0</v>
      </c>
      <c r="T92" s="1">
        <v>520</v>
      </c>
      <c r="U92" s="3">
        <v>300</v>
      </c>
      <c r="V92" s="3">
        <v>0</v>
      </c>
      <c r="W92" s="5" t="s">
        <v>45</v>
      </c>
      <c r="X92" s="3">
        <v>0</v>
      </c>
      <c r="Y92" s="3">
        <v>0</v>
      </c>
      <c r="Z92" s="1">
        <v>0</v>
      </c>
      <c r="AA92" s="7">
        <f>((R92-T92)/T92)*100</f>
        <v>-20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f>P92*R92</f>
        <v>3328</v>
      </c>
      <c r="AH92" s="3">
        <f>P92*T92</f>
        <v>4160</v>
      </c>
      <c r="AI92" s="6">
        <f>AG92/U92</f>
        <v>11.093333333333334</v>
      </c>
      <c r="AJ92" s="6">
        <f>AH92/U92</f>
        <v>13.866666666666667</v>
      </c>
      <c r="AK92" s="3">
        <v>0</v>
      </c>
    </row>
    <row r="93" spans="1:37" x14ac:dyDescent="0.3">
      <c r="A93" s="3">
        <v>92</v>
      </c>
      <c r="B93" t="s">
        <v>188</v>
      </c>
      <c r="C93" s="3" t="s">
        <v>181</v>
      </c>
      <c r="D93" s="3">
        <v>4.5</v>
      </c>
      <c r="E93" s="3">
        <v>1</v>
      </c>
      <c r="F93" s="3">
        <v>13</v>
      </c>
      <c r="G93" s="3">
        <v>7</v>
      </c>
      <c r="H93" s="6">
        <f>(F93+G93)/2</f>
        <v>10</v>
      </c>
      <c r="I93" s="3">
        <v>6</v>
      </c>
      <c r="J93" s="3">
        <v>12</v>
      </c>
      <c r="K93" s="6">
        <f>(J93+I93)/2</f>
        <v>9</v>
      </c>
      <c r="L93" s="6">
        <f t="shared" si="1"/>
        <v>90</v>
      </c>
      <c r="M93" s="3">
        <v>60</v>
      </c>
      <c r="N93" s="3">
        <v>5</v>
      </c>
      <c r="O93" s="3">
        <v>4</v>
      </c>
      <c r="P93" s="3">
        <v>8</v>
      </c>
      <c r="Q93" s="6">
        <f>(P93-O93)/O93</f>
        <v>1</v>
      </c>
      <c r="R93" s="1">
        <v>672</v>
      </c>
      <c r="S93" s="16">
        <v>0.61538461538461542</v>
      </c>
      <c r="T93" s="1">
        <v>672</v>
      </c>
      <c r="U93" s="3">
        <v>400</v>
      </c>
      <c r="V93" s="3">
        <v>0</v>
      </c>
      <c r="W93" s="5" t="s">
        <v>189</v>
      </c>
      <c r="X93" s="3">
        <v>0</v>
      </c>
      <c r="Y93" s="3">
        <v>0</v>
      </c>
      <c r="Z93" s="1">
        <v>0</v>
      </c>
      <c r="AA93" s="7">
        <f>((R93-T93)/T93)*100</f>
        <v>0</v>
      </c>
      <c r="AB93" s="3">
        <v>0</v>
      </c>
      <c r="AC93" s="3">
        <v>0</v>
      </c>
      <c r="AD93" s="3">
        <v>0</v>
      </c>
      <c r="AE93" s="3">
        <v>0</v>
      </c>
      <c r="AF93" s="3">
        <v>1</v>
      </c>
      <c r="AG93" s="3">
        <f>P93*R93</f>
        <v>5376</v>
      </c>
      <c r="AH93" s="3">
        <f>P93*T93</f>
        <v>5376</v>
      </c>
      <c r="AI93" s="6">
        <f>AG93/U93</f>
        <v>13.44</v>
      </c>
      <c r="AJ93" s="6">
        <f>AH93/U93</f>
        <v>13.44</v>
      </c>
      <c r="AK93" s="3">
        <v>0</v>
      </c>
    </row>
    <row r="94" spans="1:37" x14ac:dyDescent="0.3">
      <c r="A94" s="3">
        <v>93</v>
      </c>
      <c r="B94" t="s">
        <v>190</v>
      </c>
      <c r="C94" s="3" t="s">
        <v>181</v>
      </c>
      <c r="D94" s="3">
        <v>5</v>
      </c>
      <c r="E94" s="3">
        <v>0</v>
      </c>
      <c r="F94" s="3">
        <v>13</v>
      </c>
      <c r="G94" s="3">
        <v>11</v>
      </c>
      <c r="H94" s="6">
        <f>(F94+G94)/2</f>
        <v>12</v>
      </c>
      <c r="I94" s="3">
        <v>11</v>
      </c>
      <c r="J94" s="3">
        <v>15</v>
      </c>
      <c r="K94" s="6">
        <f>(J94+I94)/2</f>
        <v>13</v>
      </c>
      <c r="L94" s="6">
        <f t="shared" si="1"/>
        <v>156</v>
      </c>
      <c r="M94" s="3">
        <v>60</v>
      </c>
      <c r="N94" s="3">
        <v>7</v>
      </c>
      <c r="O94" s="3">
        <v>3</v>
      </c>
      <c r="P94" s="3">
        <v>6</v>
      </c>
      <c r="Q94" s="6">
        <f>(P94-O94)/O94</f>
        <v>1</v>
      </c>
      <c r="R94" s="1">
        <v>1027</v>
      </c>
      <c r="S94" s="16">
        <v>0</v>
      </c>
      <c r="T94" s="1">
        <v>790</v>
      </c>
      <c r="U94" s="3">
        <v>600</v>
      </c>
      <c r="V94" s="3">
        <v>0</v>
      </c>
      <c r="W94" s="5" t="s">
        <v>174</v>
      </c>
      <c r="X94" s="3">
        <v>0</v>
      </c>
      <c r="Y94" s="3">
        <v>1</v>
      </c>
      <c r="Z94" s="1">
        <v>0</v>
      </c>
      <c r="AA94" s="7">
        <f>((R94-T94)/T94)*100</f>
        <v>30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f>P94*R94</f>
        <v>6162</v>
      </c>
      <c r="AH94" s="3">
        <f>P94*T94</f>
        <v>4740</v>
      </c>
      <c r="AI94" s="6">
        <f>AG94/U94</f>
        <v>10.27</v>
      </c>
      <c r="AJ94" s="6">
        <f>AH94/U94</f>
        <v>7.9</v>
      </c>
      <c r="AK94" s="3">
        <v>1</v>
      </c>
    </row>
    <row r="95" spans="1:37" x14ac:dyDescent="0.3">
      <c r="A95" s="3">
        <v>94</v>
      </c>
      <c r="B95" t="s">
        <v>191</v>
      </c>
      <c r="C95" s="3" t="s">
        <v>181</v>
      </c>
      <c r="D95" s="3">
        <v>5.5</v>
      </c>
      <c r="E95" s="3">
        <v>1</v>
      </c>
      <c r="F95" s="3">
        <v>13</v>
      </c>
      <c r="G95" s="3">
        <v>11</v>
      </c>
      <c r="H95" s="6">
        <f>(F95+G95)/2</f>
        <v>12</v>
      </c>
      <c r="I95" s="3">
        <v>11</v>
      </c>
      <c r="J95" s="3">
        <v>15</v>
      </c>
      <c r="K95" s="6">
        <f>(J95+I95)/2</f>
        <v>13</v>
      </c>
      <c r="L95" s="6">
        <f t="shared" si="1"/>
        <v>156</v>
      </c>
      <c r="M95" s="3">
        <v>60</v>
      </c>
      <c r="N95" s="3">
        <v>11</v>
      </c>
      <c r="O95" s="3">
        <v>3</v>
      </c>
      <c r="P95" s="3">
        <v>6</v>
      </c>
      <c r="Q95" s="6">
        <f>(P95-O95)/O95</f>
        <v>1</v>
      </c>
      <c r="R95" s="1">
        <v>1106</v>
      </c>
      <c r="S95" s="16">
        <v>7.6923076923076927E-2</v>
      </c>
      <c r="T95" s="1">
        <v>869</v>
      </c>
      <c r="U95" s="3">
        <v>700</v>
      </c>
      <c r="V95" s="3">
        <v>0</v>
      </c>
      <c r="W95" s="5" t="s">
        <v>192</v>
      </c>
      <c r="X95" s="3">
        <v>0</v>
      </c>
      <c r="Y95" s="3">
        <v>1</v>
      </c>
      <c r="Z95" s="1">
        <v>0</v>
      </c>
      <c r="AA95" s="7">
        <f>((R95-T95)/T95)*100</f>
        <v>27.27272727272727</v>
      </c>
      <c r="AB95" s="3">
        <v>0.15</v>
      </c>
      <c r="AC95" s="3">
        <v>0</v>
      </c>
      <c r="AD95" s="3">
        <v>0</v>
      </c>
      <c r="AE95" s="3">
        <v>0</v>
      </c>
      <c r="AF95" s="3">
        <v>0</v>
      </c>
      <c r="AG95" s="3">
        <f>P95*R95</f>
        <v>6636</v>
      </c>
      <c r="AH95" s="3">
        <f>P95*T95</f>
        <v>5214</v>
      </c>
      <c r="AI95" s="6">
        <f>AG95/U95</f>
        <v>9.48</v>
      </c>
      <c r="AJ95" s="6">
        <f>AH95/U95</f>
        <v>7.4485714285714284</v>
      </c>
      <c r="AK95" s="3">
        <v>1</v>
      </c>
    </row>
    <row r="96" spans="1:37" x14ac:dyDescent="0.3">
      <c r="A96" s="3">
        <v>95</v>
      </c>
      <c r="B96" t="s">
        <v>193</v>
      </c>
      <c r="C96" s="3" t="s">
        <v>181</v>
      </c>
      <c r="D96" s="3">
        <v>6</v>
      </c>
      <c r="E96" s="3">
        <v>0</v>
      </c>
      <c r="F96" s="3">
        <v>15</v>
      </c>
      <c r="G96" s="3">
        <v>12</v>
      </c>
      <c r="H96" s="6">
        <f>(F96+G96)/2</f>
        <v>13.5</v>
      </c>
      <c r="I96" s="3">
        <v>16</v>
      </c>
      <c r="J96" s="3">
        <v>20</v>
      </c>
      <c r="K96" s="6">
        <f>(J96+I96)/2</f>
        <v>18</v>
      </c>
      <c r="L96" s="6">
        <f t="shared" si="1"/>
        <v>243</v>
      </c>
      <c r="M96" s="3">
        <v>70</v>
      </c>
      <c r="N96" s="3">
        <v>6</v>
      </c>
      <c r="O96" s="3">
        <v>2</v>
      </c>
      <c r="P96" s="3">
        <v>4</v>
      </c>
      <c r="Q96" s="6">
        <f>(P96-O96)/O96</f>
        <v>1</v>
      </c>
      <c r="R96" s="1">
        <v>1266</v>
      </c>
      <c r="S96" s="16">
        <v>0</v>
      </c>
      <c r="T96" s="1">
        <v>1055</v>
      </c>
      <c r="U96" s="3">
        <v>750</v>
      </c>
      <c r="V96" s="3">
        <v>0</v>
      </c>
      <c r="W96" s="5" t="s">
        <v>194</v>
      </c>
      <c r="X96" s="3">
        <v>1</v>
      </c>
      <c r="Y96" s="3">
        <v>0</v>
      </c>
      <c r="Z96" s="1">
        <v>0</v>
      </c>
      <c r="AA96" s="7">
        <f>((R96-T96)/T96)*100</f>
        <v>20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f>P96*R96</f>
        <v>5064</v>
      </c>
      <c r="AH96" s="3">
        <f>P96*T96</f>
        <v>4220</v>
      </c>
      <c r="AI96" s="6">
        <f>AG96/U96</f>
        <v>6.7519999999999998</v>
      </c>
      <c r="AJ96" s="6">
        <f>AH96/U96</f>
        <v>5.6266666666666669</v>
      </c>
      <c r="AK96" s="3">
        <v>1</v>
      </c>
    </row>
    <row r="97" spans="1:37" x14ac:dyDescent="0.3">
      <c r="A97" s="3">
        <v>96</v>
      </c>
      <c r="B97" t="s">
        <v>195</v>
      </c>
      <c r="C97" s="3" t="s">
        <v>181</v>
      </c>
      <c r="D97" s="3">
        <v>6.5</v>
      </c>
      <c r="E97" s="3">
        <v>1</v>
      </c>
      <c r="F97" s="3">
        <v>17</v>
      </c>
      <c r="G97" s="3">
        <v>13</v>
      </c>
      <c r="H97" s="6">
        <f>(F97+G97)/2</f>
        <v>15</v>
      </c>
      <c r="I97" s="3">
        <v>16</v>
      </c>
      <c r="J97" s="3">
        <v>20</v>
      </c>
      <c r="K97" s="6">
        <f>(J97+I97)/2</f>
        <v>18</v>
      </c>
      <c r="L97" s="6">
        <f t="shared" si="1"/>
        <v>270</v>
      </c>
      <c r="M97" s="3">
        <v>70</v>
      </c>
      <c r="N97" s="3">
        <v>8</v>
      </c>
      <c r="O97" s="3">
        <v>2</v>
      </c>
      <c r="P97" s="3">
        <v>4</v>
      </c>
      <c r="Q97" s="6">
        <f>(P97-O97)/O97</f>
        <v>1</v>
      </c>
      <c r="R97" s="1">
        <v>1443</v>
      </c>
      <c r="S97" s="16">
        <v>0.13981042654028436</v>
      </c>
      <c r="T97" s="1">
        <v>1110</v>
      </c>
      <c r="U97" s="3">
        <v>1100</v>
      </c>
      <c r="V97" s="3">
        <v>0</v>
      </c>
      <c r="W97" s="5" t="s">
        <v>196</v>
      </c>
      <c r="X97" s="3">
        <v>1</v>
      </c>
      <c r="Y97" s="3">
        <v>0</v>
      </c>
      <c r="Z97" s="1">
        <v>0</v>
      </c>
      <c r="AA97" s="7">
        <f>((R97-T97)/T97)*100</f>
        <v>30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f>P97*R97</f>
        <v>5772</v>
      </c>
      <c r="AH97" s="3">
        <f>P97*T97</f>
        <v>4440</v>
      </c>
      <c r="AI97" s="6">
        <f>AG97/U97</f>
        <v>5.2472727272727271</v>
      </c>
      <c r="AJ97" s="6">
        <f>AH97/U97</f>
        <v>4.0363636363636362</v>
      </c>
      <c r="AK97" s="3">
        <v>1</v>
      </c>
    </row>
    <row r="98" spans="1:37" x14ac:dyDescent="0.3">
      <c r="A98" s="3">
        <v>97</v>
      </c>
      <c r="B98" t="s">
        <v>197</v>
      </c>
      <c r="C98" s="3" t="s">
        <v>181</v>
      </c>
      <c r="D98" s="3">
        <v>7</v>
      </c>
      <c r="E98" s="3">
        <v>0</v>
      </c>
      <c r="F98" s="3">
        <v>17</v>
      </c>
      <c r="G98" s="3">
        <v>17</v>
      </c>
      <c r="H98" s="6">
        <f>(F98+G98)/2</f>
        <v>17</v>
      </c>
      <c r="I98" s="3">
        <v>30</v>
      </c>
      <c r="J98" s="3">
        <v>50</v>
      </c>
      <c r="K98" s="6">
        <f>(J98+I98)/2</f>
        <v>40</v>
      </c>
      <c r="L98" s="6">
        <f t="shared" si="1"/>
        <v>680</v>
      </c>
      <c r="M98" s="3">
        <v>160</v>
      </c>
      <c r="N98" s="3">
        <v>6</v>
      </c>
      <c r="O98" s="3">
        <v>1</v>
      </c>
      <c r="P98" s="3">
        <v>2</v>
      </c>
      <c r="Q98" s="6">
        <f>(P98-O98)/O98</f>
        <v>1</v>
      </c>
      <c r="R98" s="1">
        <v>3162</v>
      </c>
      <c r="S98" s="16">
        <v>0</v>
      </c>
      <c r="T98" s="1">
        <v>3162</v>
      </c>
      <c r="U98" s="3">
        <v>1500</v>
      </c>
      <c r="V98" s="3">
        <v>0</v>
      </c>
      <c r="W98" s="5" t="s">
        <v>198</v>
      </c>
      <c r="X98" s="3">
        <v>0</v>
      </c>
      <c r="Y98" s="3">
        <v>0</v>
      </c>
      <c r="Z98" s="1">
        <v>0</v>
      </c>
      <c r="AA98" s="7">
        <f>((R98-T98)/T98)*100</f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f>P98*R98</f>
        <v>6324</v>
      </c>
      <c r="AH98" s="3">
        <f>P98*T98</f>
        <v>6324</v>
      </c>
      <c r="AI98" s="6">
        <f>AG98/U98</f>
        <v>4.2160000000000002</v>
      </c>
      <c r="AJ98" s="6">
        <f>AH98/U98</f>
        <v>4.2160000000000002</v>
      </c>
      <c r="AK98" s="3">
        <v>0</v>
      </c>
    </row>
    <row r="99" spans="1:37" x14ac:dyDescent="0.3">
      <c r="A99" s="3">
        <v>98</v>
      </c>
      <c r="B99" t="s">
        <v>199</v>
      </c>
      <c r="C99" s="3" t="s">
        <v>181</v>
      </c>
      <c r="D99" s="3">
        <v>7.5</v>
      </c>
      <c r="E99" s="3">
        <v>1</v>
      </c>
      <c r="F99" s="3">
        <v>19</v>
      </c>
      <c r="G99" s="3">
        <v>19</v>
      </c>
      <c r="H99" s="6">
        <f>(F99+G99)/2</f>
        <v>19</v>
      </c>
      <c r="I99" s="3">
        <v>30</v>
      </c>
      <c r="J99" s="3">
        <v>50</v>
      </c>
      <c r="K99" s="6">
        <f>(J99+I99)/2</f>
        <v>40</v>
      </c>
      <c r="L99" s="6">
        <f t="shared" si="1"/>
        <v>760</v>
      </c>
      <c r="M99" s="3">
        <v>300</v>
      </c>
      <c r="N99" s="3">
        <v>9</v>
      </c>
      <c r="O99" s="3">
        <v>1</v>
      </c>
      <c r="P99" s="3">
        <v>2</v>
      </c>
      <c r="Q99" s="6">
        <f>(P99-O99)/O99</f>
        <v>1</v>
      </c>
      <c r="R99" s="1">
        <v>6168</v>
      </c>
      <c r="S99" s="16">
        <v>0.95066413662239091</v>
      </c>
      <c r="T99" s="1">
        <v>5397</v>
      </c>
      <c r="U99" s="3">
        <v>3000</v>
      </c>
      <c r="V99" s="3">
        <v>1</v>
      </c>
      <c r="W99" s="5" t="s">
        <v>200</v>
      </c>
      <c r="X99" s="3">
        <v>0</v>
      </c>
      <c r="Y99" s="3">
        <v>0</v>
      </c>
      <c r="Z99" s="1">
        <v>0</v>
      </c>
      <c r="AA99" s="7">
        <f>((R99-T99)/T99)*100</f>
        <v>14.285714285714285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f>P99*R99</f>
        <v>12336</v>
      </c>
      <c r="AH99" s="3">
        <f>P99*T99</f>
        <v>10794</v>
      </c>
      <c r="AI99" s="6">
        <f>AG99/U99</f>
        <v>4.1120000000000001</v>
      </c>
      <c r="AJ99" s="6">
        <f>AH99/U99</f>
        <v>3.5979999999999999</v>
      </c>
      <c r="AK99" s="3">
        <v>0</v>
      </c>
    </row>
    <row r="100" spans="1:37" x14ac:dyDescent="0.3">
      <c r="A100" s="3">
        <v>99</v>
      </c>
      <c r="B100" t="s">
        <v>201</v>
      </c>
      <c r="C100" s="3" t="s">
        <v>202</v>
      </c>
      <c r="D100" s="3">
        <v>1</v>
      </c>
      <c r="E100" s="3">
        <v>0</v>
      </c>
      <c r="F100" s="3">
        <v>3</v>
      </c>
      <c r="G100" s="3">
        <v>5</v>
      </c>
      <c r="H100" s="6">
        <f>(F100+G100)/2</f>
        <v>4</v>
      </c>
      <c r="I100" s="3">
        <v>2</v>
      </c>
      <c r="J100" s="3">
        <v>3</v>
      </c>
      <c r="K100" s="6">
        <f>(J100+I100)/2</f>
        <v>2.5</v>
      </c>
      <c r="L100" s="6">
        <f t="shared" si="1"/>
        <v>10</v>
      </c>
      <c r="M100" s="3">
        <v>6</v>
      </c>
      <c r="N100" s="3">
        <v>4</v>
      </c>
      <c r="O100" s="3">
        <v>12</v>
      </c>
      <c r="P100" s="3">
        <v>30</v>
      </c>
      <c r="Q100" s="6">
        <f>(P100-O100)/O100</f>
        <v>1.5</v>
      </c>
      <c r="R100" s="1">
        <v>56</v>
      </c>
      <c r="S100" s="16">
        <v>0</v>
      </c>
      <c r="T100" s="1">
        <v>70</v>
      </c>
      <c r="U100" s="3">
        <v>50</v>
      </c>
      <c r="V100" s="3">
        <v>0</v>
      </c>
      <c r="W100" s="5" t="s">
        <v>45</v>
      </c>
      <c r="X100" s="3">
        <v>0</v>
      </c>
      <c r="Y100" s="3">
        <v>0</v>
      </c>
      <c r="Z100" s="1">
        <v>0</v>
      </c>
      <c r="AA100" s="7">
        <f>((R100-T100)/T100)*100</f>
        <v>-20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f>P100*R100</f>
        <v>1680</v>
      </c>
      <c r="AH100" s="3">
        <f>P100*T100</f>
        <v>2100</v>
      </c>
      <c r="AI100" s="6">
        <f>AG100/U100</f>
        <v>33.6</v>
      </c>
      <c r="AJ100" s="6">
        <f>AH100/U100</f>
        <v>42</v>
      </c>
      <c r="AK100" s="3">
        <v>0</v>
      </c>
    </row>
    <row r="101" spans="1:37" x14ac:dyDescent="0.3">
      <c r="A101" s="3">
        <v>100</v>
      </c>
      <c r="B101" t="s">
        <v>203</v>
      </c>
      <c r="C101" s="3" t="s">
        <v>202</v>
      </c>
      <c r="D101" s="3">
        <v>1.5</v>
      </c>
      <c r="E101" s="3">
        <v>1</v>
      </c>
      <c r="F101" s="3">
        <v>4</v>
      </c>
      <c r="G101" s="3">
        <v>6</v>
      </c>
      <c r="H101" s="6">
        <f>(F101+G101)/2</f>
        <v>5</v>
      </c>
      <c r="I101" s="3">
        <v>2</v>
      </c>
      <c r="J101" s="3">
        <v>3</v>
      </c>
      <c r="K101" s="6">
        <f>(J101+I101)/2</f>
        <v>2.5</v>
      </c>
      <c r="L101" s="6">
        <f t="shared" si="1"/>
        <v>12.5</v>
      </c>
      <c r="M101" s="3">
        <v>6</v>
      </c>
      <c r="N101" s="3">
        <v>5</v>
      </c>
      <c r="O101" s="3">
        <v>12</v>
      </c>
      <c r="P101" s="3">
        <v>30</v>
      </c>
      <c r="Q101" s="6">
        <f>(P101-O101)/O101</f>
        <v>1.5</v>
      </c>
      <c r="R101" s="1">
        <v>90</v>
      </c>
      <c r="S101" s="16">
        <v>0.6071428571428571</v>
      </c>
      <c r="T101" s="1">
        <v>90</v>
      </c>
      <c r="U101" s="3">
        <v>70</v>
      </c>
      <c r="V101" s="3">
        <v>0</v>
      </c>
      <c r="W101" s="5" t="s">
        <v>45</v>
      </c>
      <c r="X101" s="3">
        <v>0</v>
      </c>
      <c r="Y101" s="3">
        <v>0</v>
      </c>
      <c r="Z101" s="1">
        <v>0</v>
      </c>
      <c r="AA101" s="7">
        <f>((R101-T101)/T101)*100</f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f>P101*R101</f>
        <v>2700</v>
      </c>
      <c r="AH101" s="3">
        <f>P101*T101</f>
        <v>2700</v>
      </c>
      <c r="AI101" s="6">
        <f>AG101/U101</f>
        <v>38.571428571428569</v>
      </c>
      <c r="AJ101" s="6">
        <f>AH101/U101</f>
        <v>38.571428571428569</v>
      </c>
      <c r="AK101" s="3">
        <v>0</v>
      </c>
    </row>
    <row r="102" spans="1:37" x14ac:dyDescent="0.3">
      <c r="A102" s="3">
        <v>101</v>
      </c>
      <c r="B102" t="s">
        <v>204</v>
      </c>
      <c r="C102" s="3" t="s">
        <v>202</v>
      </c>
      <c r="D102" s="3">
        <v>2</v>
      </c>
      <c r="E102" s="3">
        <v>0</v>
      </c>
      <c r="F102" s="3">
        <v>5</v>
      </c>
      <c r="G102" s="3">
        <v>6</v>
      </c>
      <c r="H102" s="6">
        <f>(F102+G102)/2</f>
        <v>5.5</v>
      </c>
      <c r="I102" s="3">
        <v>2</v>
      </c>
      <c r="J102" s="3">
        <v>3</v>
      </c>
      <c r="K102" s="6">
        <f>(J102+I102)/2</f>
        <v>2.5</v>
      </c>
      <c r="L102" s="6">
        <f t="shared" si="1"/>
        <v>13.75</v>
      </c>
      <c r="M102" s="3">
        <v>14</v>
      </c>
      <c r="N102" s="3">
        <v>4</v>
      </c>
      <c r="O102" s="3">
        <v>9</v>
      </c>
      <c r="P102" s="3">
        <v>18</v>
      </c>
      <c r="Q102" s="6">
        <f>(P102-O102)/O102</f>
        <v>1</v>
      </c>
      <c r="R102" s="1">
        <v>126</v>
      </c>
      <c r="S102" s="16">
        <v>0</v>
      </c>
      <c r="T102" s="1">
        <v>115</v>
      </c>
      <c r="U102" s="3">
        <v>110</v>
      </c>
      <c r="V102" s="3">
        <v>0</v>
      </c>
      <c r="W102" s="5" t="s">
        <v>37</v>
      </c>
      <c r="X102" s="3">
        <v>1</v>
      </c>
      <c r="Y102" s="3">
        <v>0</v>
      </c>
      <c r="Z102" s="1">
        <v>0</v>
      </c>
      <c r="AA102" s="7">
        <f>((R102-T102)/T102)*100</f>
        <v>9.5652173913043477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f>P102*R102</f>
        <v>2268</v>
      </c>
      <c r="AH102" s="3">
        <f>P102*T102</f>
        <v>2070</v>
      </c>
      <c r="AI102" s="6">
        <f>AG102/U102</f>
        <v>20.618181818181817</v>
      </c>
      <c r="AJ102" s="6">
        <f>AH102/U102</f>
        <v>18.818181818181817</v>
      </c>
      <c r="AK102" s="3">
        <v>1</v>
      </c>
    </row>
    <row r="103" spans="1:37" x14ac:dyDescent="0.3">
      <c r="A103" s="3">
        <v>102</v>
      </c>
      <c r="B103" t="s">
        <v>205</v>
      </c>
      <c r="C103" s="3" t="s">
        <v>202</v>
      </c>
      <c r="D103" s="3">
        <v>2.5</v>
      </c>
      <c r="E103" s="3">
        <v>1</v>
      </c>
      <c r="F103" s="3">
        <v>6</v>
      </c>
      <c r="G103" s="3">
        <v>8</v>
      </c>
      <c r="H103" s="6">
        <f>(F103+G103)/2</f>
        <v>7</v>
      </c>
      <c r="I103" s="3">
        <v>2</v>
      </c>
      <c r="J103" s="3">
        <v>5</v>
      </c>
      <c r="K103" s="6">
        <f>(J103+I103)/2</f>
        <v>3.5</v>
      </c>
      <c r="L103" s="6">
        <f t="shared" si="1"/>
        <v>24.5</v>
      </c>
      <c r="M103" s="3">
        <v>15</v>
      </c>
      <c r="N103" s="3">
        <v>5</v>
      </c>
      <c r="O103" s="3">
        <v>9</v>
      </c>
      <c r="P103" s="3">
        <v>18</v>
      </c>
      <c r="Q103" s="6">
        <f>(P103-O103)/O103</f>
        <v>1</v>
      </c>
      <c r="R103" s="1">
        <v>156</v>
      </c>
      <c r="S103" s="16">
        <v>0.23809523809523808</v>
      </c>
      <c r="T103" s="1">
        <v>130</v>
      </c>
      <c r="U103" s="3">
        <v>140</v>
      </c>
      <c r="V103" s="3">
        <v>0</v>
      </c>
      <c r="W103" s="5" t="s">
        <v>66</v>
      </c>
      <c r="X103" s="3">
        <v>1</v>
      </c>
      <c r="Y103" s="3">
        <v>0</v>
      </c>
      <c r="Z103" s="1">
        <v>0</v>
      </c>
      <c r="AA103" s="7">
        <f>((R103-T103)/T103)*100</f>
        <v>20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f>P103*R103</f>
        <v>2808</v>
      </c>
      <c r="AH103" s="3">
        <f>P103*T103</f>
        <v>2340</v>
      </c>
      <c r="AI103" s="6">
        <f>AG103/U103</f>
        <v>20.057142857142857</v>
      </c>
      <c r="AJ103" s="6">
        <f>AH103/U103</f>
        <v>16.714285714285715</v>
      </c>
      <c r="AK103" s="3">
        <v>1</v>
      </c>
    </row>
    <row r="104" spans="1:37" x14ac:dyDescent="0.3">
      <c r="A104" s="3">
        <v>103</v>
      </c>
      <c r="B104" t="s">
        <v>206</v>
      </c>
      <c r="C104" s="3" t="s">
        <v>202</v>
      </c>
      <c r="D104" s="3">
        <v>3</v>
      </c>
      <c r="E104" s="3">
        <v>0</v>
      </c>
      <c r="F104" s="3">
        <v>7</v>
      </c>
      <c r="G104" s="3">
        <v>9</v>
      </c>
      <c r="H104" s="6">
        <f>(F104+G104)/2</f>
        <v>8</v>
      </c>
      <c r="I104" s="3">
        <v>2</v>
      </c>
      <c r="J104" s="3">
        <v>5</v>
      </c>
      <c r="K104" s="6">
        <f>(J104+I104)/2</f>
        <v>3.5</v>
      </c>
      <c r="L104" s="6">
        <f t="shared" si="1"/>
        <v>28</v>
      </c>
      <c r="M104" s="3">
        <v>20</v>
      </c>
      <c r="N104" s="3">
        <v>9</v>
      </c>
      <c r="O104" s="3">
        <v>8</v>
      </c>
      <c r="P104" s="3">
        <v>16</v>
      </c>
      <c r="Q104" s="6">
        <f>(P104-O104)/O104</f>
        <v>1</v>
      </c>
      <c r="R104" s="1">
        <v>268</v>
      </c>
      <c r="S104" s="16">
        <v>0</v>
      </c>
      <c r="T104" s="1">
        <v>215</v>
      </c>
      <c r="U104" s="3">
        <v>220</v>
      </c>
      <c r="V104" s="3">
        <v>0</v>
      </c>
      <c r="W104" s="5" t="s">
        <v>207</v>
      </c>
      <c r="X104" s="3">
        <v>0</v>
      </c>
      <c r="Y104" s="3">
        <v>1</v>
      </c>
      <c r="Z104" s="1">
        <v>0</v>
      </c>
      <c r="AA104" s="7">
        <f>((R104-T104)/T104)*100</f>
        <v>24.651162790697676</v>
      </c>
      <c r="AB104" s="3">
        <v>0</v>
      </c>
      <c r="AC104" s="3">
        <v>0</v>
      </c>
      <c r="AD104" s="3">
        <v>0</v>
      </c>
      <c r="AE104" s="3">
        <v>0</v>
      </c>
      <c r="AF104" s="3">
        <v>1</v>
      </c>
      <c r="AG104" s="3">
        <f>P104*R104</f>
        <v>4288</v>
      </c>
      <c r="AH104" s="3">
        <f>P104*T104</f>
        <v>3440</v>
      </c>
      <c r="AI104" s="6">
        <f>AG104/U104</f>
        <v>19.490909090909092</v>
      </c>
      <c r="AJ104" s="6">
        <f>AH104/U104</f>
        <v>15.636363636363637</v>
      </c>
      <c r="AK104" s="3">
        <v>1</v>
      </c>
    </row>
    <row r="105" spans="1:37" x14ac:dyDescent="0.3">
      <c r="A105" s="3">
        <v>104</v>
      </c>
      <c r="B105" t="s">
        <v>208</v>
      </c>
      <c r="C105" s="3" t="s">
        <v>202</v>
      </c>
      <c r="D105" s="3">
        <v>3.5</v>
      </c>
      <c r="E105" s="3">
        <v>1</v>
      </c>
      <c r="F105" s="3">
        <v>8</v>
      </c>
      <c r="G105" s="3">
        <v>10</v>
      </c>
      <c r="H105" s="6">
        <f>(F105+G105)/2</f>
        <v>9</v>
      </c>
      <c r="I105" s="3">
        <v>2</v>
      </c>
      <c r="J105" s="3">
        <v>5</v>
      </c>
      <c r="K105" s="6">
        <f>(J105+I105)/2</f>
        <v>3.5</v>
      </c>
      <c r="L105" s="6">
        <f t="shared" si="1"/>
        <v>31.5</v>
      </c>
      <c r="M105" s="3">
        <v>20</v>
      </c>
      <c r="N105" s="3">
        <v>13</v>
      </c>
      <c r="O105" s="3">
        <v>8</v>
      </c>
      <c r="P105" s="3">
        <v>16</v>
      </c>
      <c r="Q105" s="6">
        <f>(P105-O105)/O105</f>
        <v>1</v>
      </c>
      <c r="R105" s="1">
        <v>312</v>
      </c>
      <c r="S105" s="16">
        <v>0.16417910447761194</v>
      </c>
      <c r="T105" s="1">
        <v>250</v>
      </c>
      <c r="U105" s="3">
        <v>240</v>
      </c>
      <c r="V105" s="3">
        <v>0</v>
      </c>
      <c r="W105" s="5" t="s">
        <v>209</v>
      </c>
      <c r="X105" s="3">
        <v>0</v>
      </c>
      <c r="Y105" s="3">
        <v>1</v>
      </c>
      <c r="Z105" s="1">
        <v>0</v>
      </c>
      <c r="AA105" s="7">
        <f>((R105-T105)/T105)*100</f>
        <v>24.8</v>
      </c>
      <c r="AB105" s="3">
        <v>0</v>
      </c>
      <c r="AC105" s="3">
        <v>0</v>
      </c>
      <c r="AD105" s="3">
        <v>0</v>
      </c>
      <c r="AE105" s="3">
        <v>0</v>
      </c>
      <c r="AF105" s="3">
        <v>1</v>
      </c>
      <c r="AG105" s="3">
        <f>P105*R105</f>
        <v>4992</v>
      </c>
      <c r="AH105" s="3">
        <f>P105*T105</f>
        <v>4000</v>
      </c>
      <c r="AI105" s="6">
        <f>AG105/U105</f>
        <v>20.8</v>
      </c>
      <c r="AJ105" s="6">
        <f>AH105/U105</f>
        <v>16.666666666666668</v>
      </c>
      <c r="AK105" s="3">
        <v>1</v>
      </c>
    </row>
    <row r="106" spans="1:37" x14ac:dyDescent="0.3">
      <c r="A106" s="3">
        <v>105</v>
      </c>
      <c r="B106" t="s">
        <v>210</v>
      </c>
      <c r="C106" s="3" t="s">
        <v>202</v>
      </c>
      <c r="D106" s="3">
        <v>4</v>
      </c>
      <c r="E106" s="3">
        <v>0</v>
      </c>
      <c r="F106" s="3">
        <v>11</v>
      </c>
      <c r="G106" s="3">
        <v>11</v>
      </c>
      <c r="H106" s="6">
        <f>(F106+G106)/2</f>
        <v>11</v>
      </c>
      <c r="I106" s="3">
        <v>6</v>
      </c>
      <c r="J106" s="3">
        <v>10</v>
      </c>
      <c r="K106" s="6">
        <f>(J106+I106)/2</f>
        <v>8</v>
      </c>
      <c r="L106" s="6">
        <f t="shared" si="1"/>
        <v>88</v>
      </c>
      <c r="M106" s="3">
        <v>35</v>
      </c>
      <c r="N106" s="3">
        <v>5</v>
      </c>
      <c r="O106" s="3">
        <v>4</v>
      </c>
      <c r="P106" s="3">
        <v>8</v>
      </c>
      <c r="Q106" s="6">
        <f>(P106-O106)/O106</f>
        <v>1</v>
      </c>
      <c r="R106" s="1">
        <v>552</v>
      </c>
      <c r="S106" s="16">
        <v>0</v>
      </c>
      <c r="T106" s="1">
        <v>506</v>
      </c>
      <c r="U106" s="3">
        <v>325</v>
      </c>
      <c r="V106" s="3">
        <v>0</v>
      </c>
      <c r="W106" s="5" t="s">
        <v>211</v>
      </c>
      <c r="X106" s="3">
        <v>0</v>
      </c>
      <c r="Y106" s="3">
        <v>0</v>
      </c>
      <c r="Z106" s="1">
        <v>0.2</v>
      </c>
      <c r="AA106" s="7">
        <f>((R106-T106)/T106)*100</f>
        <v>9.0909090909090917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f>P106*R106</f>
        <v>4416</v>
      </c>
      <c r="AH106" s="3">
        <f>P106*T106</f>
        <v>4048</v>
      </c>
      <c r="AI106" s="6">
        <f>AG106/U106</f>
        <v>13.587692307692308</v>
      </c>
      <c r="AJ106" s="6">
        <f>AH106/U106</f>
        <v>12.455384615384615</v>
      </c>
      <c r="AK106" s="3">
        <v>0</v>
      </c>
    </row>
    <row r="107" spans="1:37" x14ac:dyDescent="0.3">
      <c r="A107" s="3">
        <v>106</v>
      </c>
      <c r="B107" t="s">
        <v>212</v>
      </c>
      <c r="C107" s="3" t="s">
        <v>202</v>
      </c>
      <c r="D107" s="3">
        <v>4.5</v>
      </c>
      <c r="E107" s="3">
        <v>1</v>
      </c>
      <c r="F107" s="3">
        <v>12</v>
      </c>
      <c r="G107" s="3">
        <v>12</v>
      </c>
      <c r="H107" s="6">
        <f>(F107+G107)/2</f>
        <v>12</v>
      </c>
      <c r="I107" s="3">
        <v>6</v>
      </c>
      <c r="J107" s="3">
        <v>10</v>
      </c>
      <c r="K107" s="6">
        <f>(J107+I107)/2</f>
        <v>8</v>
      </c>
      <c r="L107" s="6">
        <f t="shared" si="1"/>
        <v>96</v>
      </c>
      <c r="M107" s="3">
        <v>40</v>
      </c>
      <c r="N107" s="3">
        <v>7</v>
      </c>
      <c r="O107" s="3">
        <v>4</v>
      </c>
      <c r="P107" s="3">
        <v>8</v>
      </c>
      <c r="Q107" s="6">
        <f>(P107-O107)/O107</f>
        <v>1</v>
      </c>
      <c r="R107" s="1">
        <v>714</v>
      </c>
      <c r="S107" s="16">
        <v>0.29347826086956524</v>
      </c>
      <c r="T107" s="1">
        <v>561</v>
      </c>
      <c r="U107" s="3">
        <v>400</v>
      </c>
      <c r="V107" s="3">
        <v>0</v>
      </c>
      <c r="W107" s="5" t="s">
        <v>211</v>
      </c>
      <c r="X107" s="3">
        <v>0</v>
      </c>
      <c r="Y107" s="3">
        <v>0</v>
      </c>
      <c r="Z107" s="1">
        <v>0.2</v>
      </c>
      <c r="AA107" s="7">
        <f>((R107-T107)/T107)*100</f>
        <v>27.27272727272727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f>P107*R107</f>
        <v>5712</v>
      </c>
      <c r="AH107" s="3">
        <f>P107*T107</f>
        <v>4488</v>
      </c>
      <c r="AI107" s="6">
        <f>AG107/U107</f>
        <v>14.28</v>
      </c>
      <c r="AJ107" s="6">
        <f>AH107/U107</f>
        <v>11.22</v>
      </c>
      <c r="AK107" s="3">
        <v>0</v>
      </c>
    </row>
    <row r="108" spans="1:37" x14ac:dyDescent="0.3">
      <c r="A108" s="3">
        <v>107</v>
      </c>
      <c r="B108" t="s">
        <v>213</v>
      </c>
      <c r="C108" s="3" t="s">
        <v>202</v>
      </c>
      <c r="D108" s="3">
        <v>5</v>
      </c>
      <c r="E108" s="3">
        <v>0</v>
      </c>
      <c r="F108" s="3">
        <v>10</v>
      </c>
      <c r="G108" s="3">
        <v>14</v>
      </c>
      <c r="H108" s="6">
        <f>(F108+G108)/2</f>
        <v>12</v>
      </c>
      <c r="I108" s="3">
        <v>12</v>
      </c>
      <c r="J108" s="3">
        <v>16</v>
      </c>
      <c r="K108" s="6">
        <f>(J108+I108)/2</f>
        <v>14</v>
      </c>
      <c r="L108" s="6">
        <f t="shared" si="1"/>
        <v>168</v>
      </c>
      <c r="M108" s="3">
        <v>70</v>
      </c>
      <c r="N108" s="3">
        <v>5</v>
      </c>
      <c r="O108" s="3">
        <v>3</v>
      </c>
      <c r="P108" s="3">
        <v>6</v>
      </c>
      <c r="Q108" s="6">
        <f>(P108-O108)/O108</f>
        <v>1</v>
      </c>
      <c r="R108" s="1">
        <v>890</v>
      </c>
      <c r="S108" s="16">
        <v>0</v>
      </c>
      <c r="T108" s="1">
        <v>890</v>
      </c>
      <c r="U108" s="3">
        <v>525</v>
      </c>
      <c r="V108" s="3">
        <v>0</v>
      </c>
      <c r="W108" s="5" t="s">
        <v>45</v>
      </c>
      <c r="X108" s="3">
        <v>0</v>
      </c>
      <c r="Y108" s="3">
        <v>0</v>
      </c>
      <c r="Z108" s="1">
        <v>0</v>
      </c>
      <c r="AA108" s="7">
        <f>((R108-T108)/T108)*100</f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f>P108*R108</f>
        <v>5340</v>
      </c>
      <c r="AH108" s="3">
        <f>P108*T108</f>
        <v>5340</v>
      </c>
      <c r="AI108" s="6">
        <f>AG108/U108</f>
        <v>10.171428571428571</v>
      </c>
      <c r="AJ108" s="6">
        <f>AH108/U108</f>
        <v>10.171428571428571</v>
      </c>
      <c r="AK108" s="3">
        <v>0</v>
      </c>
    </row>
    <row r="109" spans="1:37" x14ac:dyDescent="0.3">
      <c r="A109" s="3">
        <v>108</v>
      </c>
      <c r="B109" t="s">
        <v>214</v>
      </c>
      <c r="C109" s="3" t="s">
        <v>202</v>
      </c>
      <c r="D109" s="3">
        <v>5.5</v>
      </c>
      <c r="E109" s="3">
        <v>1</v>
      </c>
      <c r="F109" s="3">
        <v>11</v>
      </c>
      <c r="G109" s="3">
        <v>16</v>
      </c>
      <c r="H109" s="6">
        <f>(F109+G109)/2</f>
        <v>13.5</v>
      </c>
      <c r="I109" s="3">
        <v>12</v>
      </c>
      <c r="J109" s="3">
        <v>16</v>
      </c>
      <c r="K109" s="6">
        <f>(J109+I109)/2</f>
        <v>14</v>
      </c>
      <c r="L109" s="6">
        <f t="shared" si="1"/>
        <v>189</v>
      </c>
      <c r="M109" s="3">
        <v>70</v>
      </c>
      <c r="N109" s="3">
        <v>6</v>
      </c>
      <c r="O109" s="3">
        <v>3</v>
      </c>
      <c r="P109" s="3">
        <v>6</v>
      </c>
      <c r="Q109" s="6">
        <f>(P109-O109)/O109</f>
        <v>1</v>
      </c>
      <c r="R109" s="1">
        <v>1028</v>
      </c>
      <c r="S109" s="16">
        <v>0.15505617977528091</v>
      </c>
      <c r="T109" s="1">
        <v>1028</v>
      </c>
      <c r="U109" s="3">
        <v>600</v>
      </c>
      <c r="V109" s="3">
        <v>0</v>
      </c>
      <c r="W109" s="5" t="s">
        <v>215</v>
      </c>
      <c r="X109" s="3">
        <v>0</v>
      </c>
      <c r="Y109" s="3">
        <v>0</v>
      </c>
      <c r="Z109" s="1">
        <v>0</v>
      </c>
      <c r="AA109" s="7">
        <f>((R109-T109)/T109)*100</f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f>P109*R109</f>
        <v>6168</v>
      </c>
      <c r="AH109" s="3">
        <f>P109*T109</f>
        <v>6168</v>
      </c>
      <c r="AI109" s="6">
        <f>AG109/U109</f>
        <v>10.28</v>
      </c>
      <c r="AJ109" s="6">
        <f>AH109/U109</f>
        <v>10.28</v>
      </c>
      <c r="AK109" s="3">
        <v>0</v>
      </c>
    </row>
    <row r="110" spans="1:37" x14ac:dyDescent="0.3">
      <c r="A110" s="3">
        <v>109</v>
      </c>
      <c r="B110" t="s">
        <v>216</v>
      </c>
      <c r="C110" s="3" t="s">
        <v>202</v>
      </c>
      <c r="D110" s="3">
        <v>6</v>
      </c>
      <c r="E110" s="3">
        <v>0</v>
      </c>
      <c r="F110" s="3">
        <v>14</v>
      </c>
      <c r="G110" s="3">
        <v>14</v>
      </c>
      <c r="H110" s="6">
        <f>(F110+G110)/2</f>
        <v>14</v>
      </c>
      <c r="I110" s="3">
        <v>14</v>
      </c>
      <c r="J110" s="3">
        <v>18</v>
      </c>
      <c r="K110" s="6">
        <f>(J110+I110)/2</f>
        <v>16</v>
      </c>
      <c r="L110" s="6">
        <f t="shared" si="1"/>
        <v>224</v>
      </c>
      <c r="M110" s="3">
        <v>70</v>
      </c>
      <c r="N110" s="3">
        <v>7</v>
      </c>
      <c r="O110" s="3">
        <v>2</v>
      </c>
      <c r="P110" s="3">
        <v>4</v>
      </c>
      <c r="Q110" s="6">
        <f>(P110-O110)/O110</f>
        <v>1</v>
      </c>
      <c r="R110" s="1">
        <v>1350</v>
      </c>
      <c r="S110" s="16">
        <v>0</v>
      </c>
      <c r="T110" s="1">
        <v>1050</v>
      </c>
      <c r="U110" s="3">
        <v>800</v>
      </c>
      <c r="V110" s="3">
        <v>0</v>
      </c>
      <c r="W110" s="5" t="s">
        <v>174</v>
      </c>
      <c r="X110" s="3">
        <v>0</v>
      </c>
      <c r="Y110" s="3">
        <v>1</v>
      </c>
      <c r="Z110" s="1">
        <v>0</v>
      </c>
      <c r="AA110" s="7">
        <f>((R110-T110)/T110)*100</f>
        <v>28.571428571428569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f>P110*R110</f>
        <v>5400</v>
      </c>
      <c r="AH110" s="3">
        <f>P110*T110</f>
        <v>4200</v>
      </c>
      <c r="AI110" s="6">
        <f>AG110/U110</f>
        <v>6.75</v>
      </c>
      <c r="AJ110" s="6">
        <f>AH110/U110</f>
        <v>5.25</v>
      </c>
      <c r="AK110" s="3">
        <v>1</v>
      </c>
    </row>
    <row r="111" spans="1:37" x14ac:dyDescent="0.3">
      <c r="A111" s="3">
        <v>110</v>
      </c>
      <c r="B111" t="s">
        <v>217</v>
      </c>
      <c r="C111" s="3" t="s">
        <v>202</v>
      </c>
      <c r="D111" s="3">
        <v>6.5</v>
      </c>
      <c r="E111" s="3">
        <v>1</v>
      </c>
      <c r="F111" s="3">
        <v>14</v>
      </c>
      <c r="G111" s="3">
        <v>14</v>
      </c>
      <c r="H111" s="6">
        <f>(F111+G111)/2</f>
        <v>14</v>
      </c>
      <c r="I111" s="3">
        <v>18</v>
      </c>
      <c r="J111" s="3">
        <v>22</v>
      </c>
      <c r="K111" s="6">
        <f>(J111+I111)/2</f>
        <v>20</v>
      </c>
      <c r="L111" s="6">
        <f t="shared" si="1"/>
        <v>280</v>
      </c>
      <c r="M111" s="3">
        <v>70</v>
      </c>
      <c r="N111" s="3">
        <v>11</v>
      </c>
      <c r="O111" s="3">
        <v>2</v>
      </c>
      <c r="P111" s="3">
        <v>4</v>
      </c>
      <c r="Q111" s="6">
        <f>(P111-O111)/O111</f>
        <v>1</v>
      </c>
      <c r="R111" s="1">
        <v>1518</v>
      </c>
      <c r="S111" s="16">
        <v>0.12444444444444444</v>
      </c>
      <c r="T111" s="1">
        <v>1518</v>
      </c>
      <c r="U111" s="3">
        <v>1100</v>
      </c>
      <c r="V111" s="3">
        <v>0</v>
      </c>
      <c r="W111" s="5" t="s">
        <v>218</v>
      </c>
      <c r="X111" s="3">
        <v>0</v>
      </c>
      <c r="Y111" s="3">
        <v>1</v>
      </c>
      <c r="Z111" s="1">
        <v>0</v>
      </c>
      <c r="AA111" s="7">
        <f>((R111-T111)/T111)*100</f>
        <v>0</v>
      </c>
      <c r="AB111" s="3">
        <v>0</v>
      </c>
      <c r="AC111" s="3">
        <v>1</v>
      </c>
      <c r="AD111" s="3">
        <v>0</v>
      </c>
      <c r="AE111" s="3">
        <v>0</v>
      </c>
      <c r="AF111" s="3">
        <v>0</v>
      </c>
      <c r="AG111" s="3">
        <f>P111*R111</f>
        <v>6072</v>
      </c>
      <c r="AH111" s="3">
        <f>P111*T111</f>
        <v>6072</v>
      </c>
      <c r="AI111" s="6">
        <f>AG111/U111</f>
        <v>5.52</v>
      </c>
      <c r="AJ111" s="6">
        <f>AH111/U111</f>
        <v>5.52</v>
      </c>
      <c r="AK111" s="3">
        <v>1</v>
      </c>
    </row>
    <row r="112" spans="1:37" x14ac:dyDescent="0.3">
      <c r="A112" s="3">
        <v>111</v>
      </c>
      <c r="B112" t="s">
        <v>219</v>
      </c>
      <c r="C112" s="3" t="s">
        <v>202</v>
      </c>
      <c r="D112" s="3">
        <v>7</v>
      </c>
      <c r="E112" s="3">
        <v>0</v>
      </c>
      <c r="F112" s="3">
        <v>16</v>
      </c>
      <c r="G112" s="3">
        <v>18</v>
      </c>
      <c r="H112" s="6">
        <f>(F112+G112)/2</f>
        <v>17</v>
      </c>
      <c r="I112" s="3">
        <v>25</v>
      </c>
      <c r="J112" s="3">
        <v>45</v>
      </c>
      <c r="K112" s="6">
        <f>(J112+I112)/2</f>
        <v>35</v>
      </c>
      <c r="L112" s="6">
        <f t="shared" si="1"/>
        <v>595</v>
      </c>
      <c r="M112" s="3">
        <v>175</v>
      </c>
      <c r="N112" s="3">
        <v>5</v>
      </c>
      <c r="O112" s="3">
        <v>1</v>
      </c>
      <c r="P112" s="3">
        <v>2</v>
      </c>
      <c r="Q112" s="6">
        <f>(P112-O112)/O112</f>
        <v>1</v>
      </c>
      <c r="R112" s="1">
        <v>4120</v>
      </c>
      <c r="S112" s="16">
        <v>0</v>
      </c>
      <c r="T112" s="1">
        <v>4120</v>
      </c>
      <c r="U112" s="3">
        <v>2200</v>
      </c>
      <c r="V112" s="3">
        <v>0</v>
      </c>
      <c r="W112" s="5" t="s">
        <v>220</v>
      </c>
      <c r="X112" s="3">
        <v>0</v>
      </c>
      <c r="Y112" s="3">
        <v>0</v>
      </c>
      <c r="Z112" s="1">
        <v>1</v>
      </c>
      <c r="AA112" s="7">
        <f>((R112-T112)/T112)*100</f>
        <v>0</v>
      </c>
      <c r="AB112" s="3">
        <v>0.5</v>
      </c>
      <c r="AC112" s="3">
        <v>0</v>
      </c>
      <c r="AD112" s="3">
        <v>0</v>
      </c>
      <c r="AE112" s="3">
        <v>0</v>
      </c>
      <c r="AF112" s="3">
        <v>0</v>
      </c>
      <c r="AG112" s="3">
        <f>P112*R112</f>
        <v>8240</v>
      </c>
      <c r="AH112" s="3">
        <f>P112*T112</f>
        <v>8240</v>
      </c>
      <c r="AI112" s="6">
        <f>AG112/U112</f>
        <v>3.7454545454545456</v>
      </c>
      <c r="AJ112" s="6">
        <f>AH112/U112</f>
        <v>3.7454545454545456</v>
      </c>
      <c r="AK112" s="3">
        <v>0</v>
      </c>
    </row>
    <row r="113" spans="1:37" x14ac:dyDescent="0.3">
      <c r="A113" s="3">
        <v>112</v>
      </c>
      <c r="B113" t="s">
        <v>221</v>
      </c>
      <c r="C113" s="3" t="s">
        <v>202</v>
      </c>
      <c r="D113" s="3">
        <v>7.5</v>
      </c>
      <c r="E113" s="3">
        <v>1</v>
      </c>
      <c r="F113" s="3">
        <v>18</v>
      </c>
      <c r="G113" s="3">
        <v>20</v>
      </c>
      <c r="H113" s="6">
        <f>(F113+G113)/2</f>
        <v>19</v>
      </c>
      <c r="I113" s="3">
        <v>25</v>
      </c>
      <c r="J113" s="3">
        <v>45</v>
      </c>
      <c r="K113" s="6">
        <f>(J113+I113)/2</f>
        <v>35</v>
      </c>
      <c r="L113" s="6">
        <f t="shared" si="1"/>
        <v>665</v>
      </c>
      <c r="M113" s="3">
        <v>250</v>
      </c>
      <c r="N113" s="3">
        <v>7</v>
      </c>
      <c r="O113" s="3">
        <v>1</v>
      </c>
      <c r="P113" s="3">
        <v>2</v>
      </c>
      <c r="Q113" s="6">
        <f>(P113-O113)/O113</f>
        <v>1</v>
      </c>
      <c r="R113" s="1">
        <v>5931</v>
      </c>
      <c r="S113" s="16">
        <v>0.43956310679611649</v>
      </c>
      <c r="T113" s="1">
        <v>5272</v>
      </c>
      <c r="U113" s="3">
        <v>3500</v>
      </c>
      <c r="V113" s="3">
        <v>1</v>
      </c>
      <c r="W113" s="5" t="s">
        <v>220</v>
      </c>
      <c r="X113" s="3">
        <v>0</v>
      </c>
      <c r="Y113" s="3">
        <v>0</v>
      </c>
      <c r="Z113" s="1">
        <v>1</v>
      </c>
      <c r="AA113" s="7">
        <f>((R113-T113)/T113)*100</f>
        <v>12.5</v>
      </c>
      <c r="AB113" s="3">
        <v>0.5</v>
      </c>
      <c r="AC113" s="3">
        <v>0</v>
      </c>
      <c r="AD113" s="3">
        <v>0</v>
      </c>
      <c r="AE113" s="3">
        <v>0</v>
      </c>
      <c r="AF113" s="3">
        <v>0</v>
      </c>
      <c r="AG113" s="3">
        <f>P113*R113</f>
        <v>11862</v>
      </c>
      <c r="AH113" s="3">
        <f>P113*T113</f>
        <v>10544</v>
      </c>
      <c r="AI113" s="6">
        <f>AG113/U113</f>
        <v>3.3891428571428572</v>
      </c>
      <c r="AJ113" s="6">
        <f>AH113/U113</f>
        <v>3.0125714285714285</v>
      </c>
      <c r="AK113" s="3">
        <v>0</v>
      </c>
    </row>
    <row r="114" spans="1:37" x14ac:dyDescent="0.3">
      <c r="A114" s="3">
        <v>113</v>
      </c>
      <c r="B114" t="s">
        <v>222</v>
      </c>
      <c r="C114" s="3" t="s">
        <v>223</v>
      </c>
      <c r="D114" s="3">
        <v>1</v>
      </c>
      <c r="E114" s="3">
        <v>0</v>
      </c>
      <c r="F114" s="3">
        <v>2</v>
      </c>
      <c r="G114" s="3">
        <v>2</v>
      </c>
      <c r="H114" s="6">
        <f>(F114+G114)/2</f>
        <v>2</v>
      </c>
      <c r="I114" s="3">
        <v>1</v>
      </c>
      <c r="J114" s="3">
        <v>2</v>
      </c>
      <c r="K114" s="6">
        <f>(J114+I114)/2</f>
        <v>1.5</v>
      </c>
      <c r="L114" s="6">
        <f t="shared" si="1"/>
        <v>3</v>
      </c>
      <c r="M114" s="3">
        <v>3</v>
      </c>
      <c r="N114" s="3">
        <v>7</v>
      </c>
      <c r="O114" s="3">
        <v>20</v>
      </c>
      <c r="P114" s="3">
        <v>50</v>
      </c>
      <c r="Q114" s="6">
        <f>(P114-O114)/O114</f>
        <v>1.5</v>
      </c>
      <c r="R114" s="1">
        <v>55</v>
      </c>
      <c r="S114" s="16">
        <v>0</v>
      </c>
      <c r="T114" s="1">
        <v>40</v>
      </c>
      <c r="U114" s="3">
        <v>25</v>
      </c>
      <c r="V114" s="3">
        <v>0</v>
      </c>
      <c r="W114" s="5" t="s">
        <v>174</v>
      </c>
      <c r="X114" s="3">
        <v>0</v>
      </c>
      <c r="Y114" s="3">
        <v>1</v>
      </c>
      <c r="Z114" s="1">
        <v>0</v>
      </c>
      <c r="AA114" s="7">
        <f>((R114-T114)/T114)*100</f>
        <v>37.5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f>P114*R114</f>
        <v>2750</v>
      </c>
      <c r="AH114" s="3">
        <f>P114*T114</f>
        <v>2000</v>
      </c>
      <c r="AI114" s="6">
        <f>AG114/U114</f>
        <v>110</v>
      </c>
      <c r="AJ114" s="6">
        <f>AH114/U114</f>
        <v>80</v>
      </c>
      <c r="AK114" s="3">
        <v>1</v>
      </c>
    </row>
    <row r="115" spans="1:37" x14ac:dyDescent="0.3">
      <c r="A115" s="3">
        <v>114</v>
      </c>
      <c r="B115" t="s">
        <v>224</v>
      </c>
      <c r="C115" s="3" t="s">
        <v>223</v>
      </c>
      <c r="D115" s="3">
        <v>1.5</v>
      </c>
      <c r="E115" s="3">
        <v>1</v>
      </c>
      <c r="F115" s="3">
        <v>2</v>
      </c>
      <c r="G115" s="3">
        <v>2</v>
      </c>
      <c r="H115" s="6">
        <f>(F115+G115)/2</f>
        <v>2</v>
      </c>
      <c r="I115" s="3">
        <v>1</v>
      </c>
      <c r="J115" s="3">
        <v>3</v>
      </c>
      <c r="K115" s="6">
        <f>(J115+I115)/2</f>
        <v>2</v>
      </c>
      <c r="L115" s="6">
        <f t="shared" si="1"/>
        <v>4</v>
      </c>
      <c r="M115" s="3">
        <v>3</v>
      </c>
      <c r="N115" s="3">
        <v>9</v>
      </c>
      <c r="O115" s="3">
        <v>20</v>
      </c>
      <c r="P115" s="3">
        <v>50</v>
      </c>
      <c r="Q115" s="6">
        <f>(P115-O115)/O115</f>
        <v>1.5</v>
      </c>
      <c r="R115" s="1">
        <v>95</v>
      </c>
      <c r="S115" s="16">
        <v>0.72727272727272729</v>
      </c>
      <c r="T115" s="1">
        <v>70</v>
      </c>
      <c r="U115" s="3">
        <v>30</v>
      </c>
      <c r="V115" s="3">
        <v>0</v>
      </c>
      <c r="W115" s="5" t="s">
        <v>225</v>
      </c>
      <c r="X115" s="3">
        <v>0</v>
      </c>
      <c r="Y115" s="3">
        <v>1</v>
      </c>
      <c r="Z115" s="1">
        <v>1</v>
      </c>
      <c r="AA115" s="7">
        <f>((R115-T115)/T115)*100</f>
        <v>35.714285714285715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f>P115*R115</f>
        <v>4750</v>
      </c>
      <c r="AH115" s="3">
        <f>P115*T115</f>
        <v>3500</v>
      </c>
      <c r="AI115" s="6">
        <f>AG115/U115</f>
        <v>158.33333333333334</v>
      </c>
      <c r="AJ115" s="6">
        <f>AH115/U115</f>
        <v>116.66666666666667</v>
      </c>
      <c r="AK115" s="3">
        <v>1</v>
      </c>
    </row>
    <row r="116" spans="1:37" x14ac:dyDescent="0.3">
      <c r="A116" s="3">
        <v>115</v>
      </c>
      <c r="B116" t="s">
        <v>226</v>
      </c>
      <c r="C116" s="3" t="s">
        <v>223</v>
      </c>
      <c r="D116" s="3">
        <v>2</v>
      </c>
      <c r="E116" s="3">
        <v>0</v>
      </c>
      <c r="F116" s="3">
        <v>9</v>
      </c>
      <c r="G116" s="3">
        <v>9</v>
      </c>
      <c r="H116" s="6">
        <f>(F116+G116)/2</f>
        <v>9</v>
      </c>
      <c r="I116" s="3">
        <v>2</v>
      </c>
      <c r="J116" s="3">
        <v>8</v>
      </c>
      <c r="K116" s="6">
        <f>(J116+I116)/2</f>
        <v>5</v>
      </c>
      <c r="L116" s="6">
        <f t="shared" si="1"/>
        <v>45</v>
      </c>
      <c r="M116" s="3">
        <v>25</v>
      </c>
      <c r="N116" s="3">
        <v>7</v>
      </c>
      <c r="O116" s="3">
        <v>6</v>
      </c>
      <c r="P116" s="3">
        <v>12</v>
      </c>
      <c r="Q116" s="6">
        <f>(P116-O116)/O116</f>
        <v>1</v>
      </c>
      <c r="R116" s="1">
        <v>356</v>
      </c>
      <c r="S116" s="16">
        <v>0</v>
      </c>
      <c r="T116" s="1">
        <v>324</v>
      </c>
      <c r="U116" s="3">
        <v>250</v>
      </c>
      <c r="V116" s="3">
        <v>0</v>
      </c>
      <c r="W116" s="5" t="s">
        <v>227</v>
      </c>
      <c r="X116" s="3">
        <v>0</v>
      </c>
      <c r="Y116" s="3">
        <v>0</v>
      </c>
      <c r="Z116" s="1">
        <v>0</v>
      </c>
      <c r="AA116" s="7">
        <f>((R116-T116)/T116)*100</f>
        <v>9.8765432098765427</v>
      </c>
      <c r="AB116" s="3">
        <v>0</v>
      </c>
      <c r="AC116" s="3">
        <v>0</v>
      </c>
      <c r="AD116" s="3">
        <v>0.1</v>
      </c>
      <c r="AE116" s="3">
        <v>0</v>
      </c>
      <c r="AF116" s="3">
        <v>0</v>
      </c>
      <c r="AG116" s="3">
        <f>P116*R116</f>
        <v>4272</v>
      </c>
      <c r="AH116" s="3">
        <f>P116*T116</f>
        <v>3888</v>
      </c>
      <c r="AI116" s="6">
        <f>AG116/U116</f>
        <v>17.088000000000001</v>
      </c>
      <c r="AJ116" s="6">
        <f>AH116/U116</f>
        <v>15.552</v>
      </c>
      <c r="AK116" s="3">
        <v>0</v>
      </c>
    </row>
    <row r="117" spans="1:37" x14ac:dyDescent="0.3">
      <c r="A117" s="3">
        <v>116</v>
      </c>
      <c r="B117" t="s">
        <v>228</v>
      </c>
      <c r="C117" s="3" t="s">
        <v>223</v>
      </c>
      <c r="D117" s="3">
        <v>2.5</v>
      </c>
      <c r="E117" s="3">
        <v>1</v>
      </c>
      <c r="F117" s="3">
        <v>9</v>
      </c>
      <c r="G117" s="3">
        <v>9</v>
      </c>
      <c r="H117" s="6">
        <f>(F117+G117)/2</f>
        <v>9</v>
      </c>
      <c r="I117" s="3">
        <v>2</v>
      </c>
      <c r="J117" s="3">
        <v>8</v>
      </c>
      <c r="K117" s="6">
        <f>(J117+I117)/2</f>
        <v>5</v>
      </c>
      <c r="L117" s="6">
        <f t="shared" si="1"/>
        <v>45</v>
      </c>
      <c r="M117" s="3">
        <v>25</v>
      </c>
      <c r="N117" s="3">
        <v>8</v>
      </c>
      <c r="O117" s="3">
        <v>6</v>
      </c>
      <c r="P117" s="3">
        <v>12</v>
      </c>
      <c r="Q117" s="6">
        <f>(P117-O117)/O117</f>
        <v>1</v>
      </c>
      <c r="R117" s="1">
        <v>486</v>
      </c>
      <c r="S117" s="16">
        <v>0.3651685393258427</v>
      </c>
      <c r="T117" s="1">
        <v>324</v>
      </c>
      <c r="U117" s="3">
        <v>275</v>
      </c>
      <c r="V117" s="3">
        <v>0</v>
      </c>
      <c r="W117" s="5" t="s">
        <v>229</v>
      </c>
      <c r="X117" s="3">
        <v>1</v>
      </c>
      <c r="Y117" s="3">
        <v>0</v>
      </c>
      <c r="Z117" s="1">
        <v>0</v>
      </c>
      <c r="AA117" s="7">
        <f>((R117-T117)/T117)*100</f>
        <v>50</v>
      </c>
      <c r="AB117" s="3">
        <v>0</v>
      </c>
      <c r="AC117" s="3">
        <v>0</v>
      </c>
      <c r="AD117" s="3">
        <v>0.1</v>
      </c>
      <c r="AE117" s="3">
        <v>0</v>
      </c>
      <c r="AF117" s="3">
        <v>1</v>
      </c>
      <c r="AG117" s="3">
        <f>P117*R117</f>
        <v>5832</v>
      </c>
      <c r="AH117" s="3">
        <f>P117*T117</f>
        <v>3888</v>
      </c>
      <c r="AI117" s="6">
        <f>AG117/U117</f>
        <v>21.207272727272727</v>
      </c>
      <c r="AJ117" s="6">
        <f>AH117/U117</f>
        <v>14.138181818181819</v>
      </c>
      <c r="AK117" s="3">
        <v>1</v>
      </c>
    </row>
    <row r="118" spans="1:37" x14ac:dyDescent="0.3">
      <c r="A118" s="3">
        <v>117</v>
      </c>
      <c r="B118" t="s">
        <v>230</v>
      </c>
      <c r="C118" s="3" t="s">
        <v>223</v>
      </c>
      <c r="D118" s="3">
        <v>3</v>
      </c>
      <c r="E118" s="3">
        <v>0</v>
      </c>
      <c r="F118" s="3">
        <v>8</v>
      </c>
      <c r="G118" s="3">
        <v>10</v>
      </c>
      <c r="H118" s="6">
        <f>(F118+G118)/2</f>
        <v>9</v>
      </c>
      <c r="I118" s="3">
        <v>3</v>
      </c>
      <c r="J118" s="3">
        <v>7</v>
      </c>
      <c r="K118" s="6">
        <f>(J118+I118)/2</f>
        <v>5</v>
      </c>
      <c r="L118" s="6">
        <f t="shared" si="1"/>
        <v>45</v>
      </c>
      <c r="M118" s="3">
        <v>30</v>
      </c>
      <c r="N118" s="3">
        <v>5</v>
      </c>
      <c r="O118" s="3">
        <v>6</v>
      </c>
      <c r="P118" s="3">
        <v>12</v>
      </c>
      <c r="Q118" s="6">
        <f>(P118-O118)/O118</f>
        <v>1</v>
      </c>
      <c r="R118" s="1">
        <v>315</v>
      </c>
      <c r="S118" s="16">
        <v>0</v>
      </c>
      <c r="T118" s="1">
        <v>315</v>
      </c>
      <c r="U118" s="3">
        <v>300</v>
      </c>
      <c r="V118" s="3">
        <v>0</v>
      </c>
      <c r="W118" s="5" t="s">
        <v>231</v>
      </c>
      <c r="X118" s="3">
        <v>0</v>
      </c>
      <c r="Y118" s="3">
        <v>0</v>
      </c>
      <c r="Z118" s="1">
        <v>0</v>
      </c>
      <c r="AA118" s="7">
        <f>((R118-T118)/T118)*100</f>
        <v>0</v>
      </c>
      <c r="AB118" s="3">
        <v>0</v>
      </c>
      <c r="AC118" s="3">
        <v>0</v>
      </c>
      <c r="AD118" s="3">
        <v>0.1</v>
      </c>
      <c r="AE118" s="3">
        <v>0</v>
      </c>
      <c r="AF118" s="3">
        <v>0</v>
      </c>
      <c r="AG118" s="3">
        <f>P118*R118</f>
        <v>3780</v>
      </c>
      <c r="AH118" s="3">
        <f>P118*T118</f>
        <v>3780</v>
      </c>
      <c r="AI118" s="6">
        <f>AG118/U118</f>
        <v>12.6</v>
      </c>
      <c r="AJ118" s="6">
        <f>AH118/U118</f>
        <v>12.6</v>
      </c>
      <c r="AK118" s="3">
        <v>0</v>
      </c>
    </row>
    <row r="119" spans="1:37" x14ac:dyDescent="0.3">
      <c r="A119" s="3">
        <v>118</v>
      </c>
      <c r="B119" t="s">
        <v>232</v>
      </c>
      <c r="C119" s="3" t="s">
        <v>223</v>
      </c>
      <c r="D119" s="3">
        <v>3.5</v>
      </c>
      <c r="E119" s="3">
        <v>1</v>
      </c>
      <c r="F119" s="3">
        <v>8</v>
      </c>
      <c r="G119" s="3">
        <v>10</v>
      </c>
      <c r="H119" s="6">
        <f>(F119+G119)/2</f>
        <v>9</v>
      </c>
      <c r="I119" s="3">
        <v>3</v>
      </c>
      <c r="J119" s="3">
        <v>7</v>
      </c>
      <c r="K119" s="6">
        <f>(J119+I119)/2</f>
        <v>5</v>
      </c>
      <c r="L119" s="6">
        <f t="shared" si="1"/>
        <v>45</v>
      </c>
      <c r="M119" s="3">
        <v>30</v>
      </c>
      <c r="N119" s="3">
        <v>6</v>
      </c>
      <c r="O119" s="3">
        <v>6</v>
      </c>
      <c r="P119" s="3">
        <v>12</v>
      </c>
      <c r="Q119" s="6">
        <f>(P119-O119)/O119</f>
        <v>1</v>
      </c>
      <c r="R119" s="1">
        <v>380</v>
      </c>
      <c r="S119" s="16">
        <v>0.20634920634920634</v>
      </c>
      <c r="T119" s="1">
        <v>315</v>
      </c>
      <c r="U119" s="3">
        <v>375</v>
      </c>
      <c r="V119" s="3">
        <v>0</v>
      </c>
      <c r="W119" s="5" t="s">
        <v>233</v>
      </c>
      <c r="X119" s="3">
        <v>1</v>
      </c>
      <c r="Y119" s="3">
        <v>0</v>
      </c>
      <c r="Z119" s="1">
        <v>0</v>
      </c>
      <c r="AA119" s="7">
        <f>((R119-T119)/T119)*100</f>
        <v>20.634920634920633</v>
      </c>
      <c r="AB119" s="3">
        <v>0</v>
      </c>
      <c r="AC119" s="3">
        <v>0</v>
      </c>
      <c r="AD119" s="3">
        <v>0.1</v>
      </c>
      <c r="AE119" s="3">
        <v>0</v>
      </c>
      <c r="AF119" s="3">
        <v>1</v>
      </c>
      <c r="AG119" s="3">
        <f>P119*R119</f>
        <v>4560</v>
      </c>
      <c r="AH119" s="3">
        <f>P119*T119</f>
        <v>3780</v>
      </c>
      <c r="AI119" s="6">
        <f>AG119/U119</f>
        <v>12.16</v>
      </c>
      <c r="AJ119" s="6">
        <f>AH119/U119</f>
        <v>10.08</v>
      </c>
      <c r="AK119" s="3">
        <v>1</v>
      </c>
    </row>
    <row r="120" spans="1:37" x14ac:dyDescent="0.3">
      <c r="A120" s="3">
        <v>119</v>
      </c>
      <c r="B120" t="s">
        <v>234</v>
      </c>
      <c r="C120" s="3" t="s">
        <v>223</v>
      </c>
      <c r="D120" s="3">
        <v>4</v>
      </c>
      <c r="E120" s="3">
        <v>0</v>
      </c>
      <c r="F120" s="3">
        <v>10</v>
      </c>
      <c r="G120" s="3">
        <v>8</v>
      </c>
      <c r="H120" s="6">
        <f>(F120+G120)/2</f>
        <v>9</v>
      </c>
      <c r="I120" s="3">
        <v>4</v>
      </c>
      <c r="J120" s="3">
        <v>6</v>
      </c>
      <c r="K120" s="6">
        <f>(J120+I120)/2</f>
        <v>5</v>
      </c>
      <c r="L120" s="6">
        <f t="shared" si="1"/>
        <v>45</v>
      </c>
      <c r="M120" s="3">
        <v>35</v>
      </c>
      <c r="N120" s="3">
        <v>6</v>
      </c>
      <c r="O120" s="3">
        <v>5</v>
      </c>
      <c r="P120" s="3">
        <v>10</v>
      </c>
      <c r="Q120" s="6">
        <f>(P120-O120)/O120</f>
        <v>1</v>
      </c>
      <c r="R120" s="1">
        <v>345</v>
      </c>
      <c r="S120" s="16">
        <v>0</v>
      </c>
      <c r="T120" s="1">
        <v>345</v>
      </c>
      <c r="U120" s="3">
        <v>350</v>
      </c>
      <c r="V120" s="3">
        <v>0</v>
      </c>
      <c r="W120" s="5" t="s">
        <v>235</v>
      </c>
      <c r="X120" s="3">
        <v>0</v>
      </c>
      <c r="Y120" s="3">
        <v>0</v>
      </c>
      <c r="Z120" s="1">
        <v>0</v>
      </c>
      <c r="AA120" s="7">
        <f>((R120-T120)/T120)*100</f>
        <v>0</v>
      </c>
      <c r="AB120" s="3">
        <v>0</v>
      </c>
      <c r="AC120" s="3">
        <v>0</v>
      </c>
      <c r="AD120" s="3">
        <v>0.25</v>
      </c>
      <c r="AE120" s="3">
        <v>0</v>
      </c>
      <c r="AF120" s="3">
        <v>0</v>
      </c>
      <c r="AG120" s="3">
        <f>P120*R120</f>
        <v>3450</v>
      </c>
      <c r="AH120" s="3">
        <f>P120*T120</f>
        <v>3450</v>
      </c>
      <c r="AI120" s="6">
        <f>AG120/U120</f>
        <v>9.8571428571428577</v>
      </c>
      <c r="AJ120" s="6">
        <f>AH120/U120</f>
        <v>9.8571428571428577</v>
      </c>
      <c r="AK120" s="3">
        <v>0</v>
      </c>
    </row>
    <row r="121" spans="1:37" x14ac:dyDescent="0.3">
      <c r="A121" s="3">
        <v>120</v>
      </c>
      <c r="B121" t="s">
        <v>236</v>
      </c>
      <c r="C121" s="3" t="s">
        <v>223</v>
      </c>
      <c r="D121" s="3">
        <v>4.5</v>
      </c>
      <c r="E121" s="3">
        <v>1</v>
      </c>
      <c r="F121" s="3">
        <v>12</v>
      </c>
      <c r="G121" s="3">
        <v>8</v>
      </c>
      <c r="H121" s="6">
        <f>(F121+G121)/2</f>
        <v>10</v>
      </c>
      <c r="I121" s="3">
        <v>4</v>
      </c>
      <c r="J121" s="3">
        <v>6</v>
      </c>
      <c r="K121" s="6">
        <f>(J121+I121)/2</f>
        <v>5</v>
      </c>
      <c r="L121" s="6">
        <f t="shared" si="1"/>
        <v>50</v>
      </c>
      <c r="M121" s="3">
        <v>35</v>
      </c>
      <c r="N121" s="3">
        <v>8</v>
      </c>
      <c r="O121" s="3">
        <v>5</v>
      </c>
      <c r="P121" s="3">
        <v>10</v>
      </c>
      <c r="Q121" s="6">
        <f>(P121-O121)/O121</f>
        <v>1</v>
      </c>
      <c r="R121" s="1">
        <v>470</v>
      </c>
      <c r="S121" s="16">
        <v>0.36231884057971014</v>
      </c>
      <c r="T121" s="1">
        <v>360</v>
      </c>
      <c r="U121" s="3">
        <v>400</v>
      </c>
      <c r="V121" s="3">
        <v>0</v>
      </c>
      <c r="W121" s="5" t="s">
        <v>237</v>
      </c>
      <c r="X121" s="3">
        <v>0</v>
      </c>
      <c r="Y121" s="3">
        <v>1</v>
      </c>
      <c r="Z121" s="1">
        <v>0</v>
      </c>
      <c r="AA121" s="7">
        <f>((R121-T121)/T121)*100</f>
        <v>30.555555555555557</v>
      </c>
      <c r="AB121" s="3">
        <v>0</v>
      </c>
      <c r="AC121" s="3">
        <v>0</v>
      </c>
      <c r="AD121" s="3">
        <v>0.25</v>
      </c>
      <c r="AE121" s="3">
        <v>0</v>
      </c>
      <c r="AF121" s="3">
        <v>1</v>
      </c>
      <c r="AG121" s="3">
        <f>P121*R121</f>
        <v>4700</v>
      </c>
      <c r="AH121" s="3">
        <f>P121*T121</f>
        <v>3600</v>
      </c>
      <c r="AI121" s="6">
        <f>AG121/U121</f>
        <v>11.75</v>
      </c>
      <c r="AJ121" s="6">
        <f>AH121/U121</f>
        <v>9</v>
      </c>
      <c r="AK121" s="3">
        <v>1</v>
      </c>
    </row>
    <row r="122" spans="1:37" x14ac:dyDescent="0.3">
      <c r="A122" s="3">
        <v>121</v>
      </c>
      <c r="B122" t="s">
        <v>238</v>
      </c>
      <c r="C122" s="3" t="s">
        <v>223</v>
      </c>
      <c r="D122" s="3">
        <v>5</v>
      </c>
      <c r="E122" s="3">
        <v>0</v>
      </c>
      <c r="F122" s="3">
        <v>10</v>
      </c>
      <c r="G122" s="3">
        <v>10</v>
      </c>
      <c r="H122" s="6">
        <f>(F122+G122)/2</f>
        <v>10</v>
      </c>
      <c r="I122" s="3">
        <v>4</v>
      </c>
      <c r="J122" s="3">
        <v>8</v>
      </c>
      <c r="K122" s="6">
        <f>(J122+I122)/2</f>
        <v>6</v>
      </c>
      <c r="L122" s="6">
        <f t="shared" si="1"/>
        <v>60</v>
      </c>
      <c r="M122" s="3">
        <v>40</v>
      </c>
      <c r="N122" s="3">
        <v>4</v>
      </c>
      <c r="O122" s="3">
        <v>4</v>
      </c>
      <c r="P122" s="3">
        <v>8</v>
      </c>
      <c r="Q122" s="6">
        <f>(P122-O122)/O122</f>
        <v>1</v>
      </c>
      <c r="R122" s="1">
        <v>330</v>
      </c>
      <c r="S122" s="16">
        <v>0</v>
      </c>
      <c r="T122" s="1">
        <v>415</v>
      </c>
      <c r="U122" s="3">
        <v>400</v>
      </c>
      <c r="V122" s="3">
        <v>0</v>
      </c>
      <c r="W122" s="5" t="s">
        <v>239</v>
      </c>
      <c r="X122" s="3">
        <v>0</v>
      </c>
      <c r="Y122" s="3">
        <v>0</v>
      </c>
      <c r="Z122" s="1">
        <v>0</v>
      </c>
      <c r="AA122" s="7">
        <f>((R122-T122)/T122)*100</f>
        <v>-20.481927710843372</v>
      </c>
      <c r="AB122" s="3">
        <v>0</v>
      </c>
      <c r="AC122" s="3">
        <v>0</v>
      </c>
      <c r="AD122" s="3">
        <v>0.1</v>
      </c>
      <c r="AE122" s="3">
        <v>0</v>
      </c>
      <c r="AF122" s="3">
        <v>0</v>
      </c>
      <c r="AG122" s="3">
        <f>P122*R122</f>
        <v>2640</v>
      </c>
      <c r="AH122" s="3">
        <f>P122*T122</f>
        <v>3320</v>
      </c>
      <c r="AI122" s="6">
        <f>AG122/U122</f>
        <v>6.6</v>
      </c>
      <c r="AJ122" s="6">
        <f>AH122/U122</f>
        <v>8.3000000000000007</v>
      </c>
      <c r="AK122" s="3">
        <v>0</v>
      </c>
    </row>
    <row r="123" spans="1:37" x14ac:dyDescent="0.3">
      <c r="A123" s="3">
        <v>122</v>
      </c>
      <c r="B123" t="s">
        <v>240</v>
      </c>
      <c r="C123" s="3" t="s">
        <v>223</v>
      </c>
      <c r="D123" s="3">
        <v>5.5</v>
      </c>
      <c r="E123" s="3">
        <v>1</v>
      </c>
      <c r="F123" s="3">
        <v>11</v>
      </c>
      <c r="G123" s="3">
        <v>11</v>
      </c>
      <c r="H123" s="6">
        <f>(F123+G123)/2</f>
        <v>11</v>
      </c>
      <c r="I123" s="3">
        <v>6</v>
      </c>
      <c r="J123" s="3">
        <v>10</v>
      </c>
      <c r="K123" s="6">
        <f>(J123+I123)/2</f>
        <v>8</v>
      </c>
      <c r="L123" s="6">
        <f t="shared" si="1"/>
        <v>88</v>
      </c>
      <c r="M123" s="3">
        <v>40</v>
      </c>
      <c r="N123" s="3">
        <v>6</v>
      </c>
      <c r="O123" s="3">
        <v>4</v>
      </c>
      <c r="P123" s="3">
        <v>8</v>
      </c>
      <c r="Q123" s="6">
        <f>(P123-O123)/O123</f>
        <v>1</v>
      </c>
      <c r="R123" s="1">
        <v>490</v>
      </c>
      <c r="S123" s="16">
        <v>0.48484848484848486</v>
      </c>
      <c r="T123" s="1">
        <v>490</v>
      </c>
      <c r="U123" s="3">
        <v>500</v>
      </c>
      <c r="V123" s="3">
        <v>0</v>
      </c>
      <c r="W123" s="5" t="s">
        <v>241</v>
      </c>
      <c r="X123" s="3">
        <v>0</v>
      </c>
      <c r="Y123" s="3">
        <v>0</v>
      </c>
      <c r="Z123" s="1">
        <v>0</v>
      </c>
      <c r="AA123" s="7">
        <f>((R123-T123)/T123)*100</f>
        <v>0</v>
      </c>
      <c r="AB123" s="3">
        <v>0</v>
      </c>
      <c r="AC123" s="3">
        <v>0</v>
      </c>
      <c r="AD123" s="3">
        <v>0.1</v>
      </c>
      <c r="AE123" s="3">
        <v>0</v>
      </c>
      <c r="AF123" s="3">
        <v>1</v>
      </c>
      <c r="AG123" s="3">
        <f>P123*R123</f>
        <v>3920</v>
      </c>
      <c r="AH123" s="3">
        <f>P123*T123</f>
        <v>3920</v>
      </c>
      <c r="AI123" s="6">
        <f>AG123/U123</f>
        <v>7.84</v>
      </c>
      <c r="AJ123" s="6">
        <f>AH123/U123</f>
        <v>7.84</v>
      </c>
      <c r="AK123" s="3">
        <v>0</v>
      </c>
    </row>
    <row r="124" spans="1:37" x14ac:dyDescent="0.3">
      <c r="A124" s="3">
        <v>123</v>
      </c>
      <c r="B124" t="s">
        <v>242</v>
      </c>
      <c r="C124" s="3" t="s">
        <v>223</v>
      </c>
      <c r="D124" s="3">
        <v>6</v>
      </c>
      <c r="E124" s="3">
        <v>0</v>
      </c>
      <c r="F124" s="3">
        <v>15</v>
      </c>
      <c r="G124" s="3">
        <v>13</v>
      </c>
      <c r="H124" s="6">
        <f>(F124+G124)/2</f>
        <v>14</v>
      </c>
      <c r="I124" s="3">
        <v>10</v>
      </c>
      <c r="J124" s="3">
        <v>20</v>
      </c>
      <c r="K124" s="6">
        <f>(J124+I124)/2</f>
        <v>15</v>
      </c>
      <c r="L124" s="6">
        <f t="shared" si="1"/>
        <v>210</v>
      </c>
      <c r="M124" s="3">
        <v>75</v>
      </c>
      <c r="N124" s="3">
        <v>7</v>
      </c>
      <c r="O124" s="3">
        <v>2</v>
      </c>
      <c r="P124" s="3">
        <v>4</v>
      </c>
      <c r="Q124" s="6">
        <f>(P124-O124)/O124</f>
        <v>1</v>
      </c>
      <c r="R124" s="1">
        <v>1669</v>
      </c>
      <c r="S124" s="16">
        <v>0</v>
      </c>
      <c r="T124" s="1">
        <v>1431</v>
      </c>
      <c r="U124" s="3">
        <v>750</v>
      </c>
      <c r="V124" s="3">
        <v>0</v>
      </c>
      <c r="W124" s="5" t="s">
        <v>243</v>
      </c>
      <c r="X124" s="3">
        <v>0</v>
      </c>
      <c r="Y124" s="3">
        <v>0</v>
      </c>
      <c r="Z124" s="1">
        <v>1</v>
      </c>
      <c r="AA124" s="7">
        <f>((R124-T124)/T124)*100</f>
        <v>16.63172606568833</v>
      </c>
      <c r="AB124" s="3">
        <v>0.5</v>
      </c>
      <c r="AC124" s="3">
        <v>0</v>
      </c>
      <c r="AD124" s="3">
        <v>0.1</v>
      </c>
      <c r="AE124" s="3">
        <v>0</v>
      </c>
      <c r="AF124" s="3">
        <v>0</v>
      </c>
      <c r="AG124" s="3">
        <f>P124*R124</f>
        <v>6676</v>
      </c>
      <c r="AH124" s="3">
        <f>P124*T124</f>
        <v>5724</v>
      </c>
      <c r="AI124" s="6">
        <f>AG124/U124</f>
        <v>8.9013333333333335</v>
      </c>
      <c r="AJ124" s="6">
        <f>AH124/U124</f>
        <v>7.6319999999999997</v>
      </c>
      <c r="AK124" s="3">
        <v>0</v>
      </c>
    </row>
    <row r="125" spans="1:37" x14ac:dyDescent="0.3">
      <c r="A125" s="3">
        <v>124</v>
      </c>
      <c r="B125" t="s">
        <v>244</v>
      </c>
      <c r="C125" s="3" t="s">
        <v>223</v>
      </c>
      <c r="D125" s="3">
        <v>6.5</v>
      </c>
      <c r="E125" s="3">
        <v>1</v>
      </c>
      <c r="F125" s="3">
        <v>15</v>
      </c>
      <c r="G125" s="3">
        <v>13</v>
      </c>
      <c r="H125" s="6">
        <f>(F125+G125)/2</f>
        <v>14</v>
      </c>
      <c r="I125" s="3">
        <v>15</v>
      </c>
      <c r="J125" s="3">
        <v>25</v>
      </c>
      <c r="K125" s="6">
        <f>(J125+I125)/2</f>
        <v>20</v>
      </c>
      <c r="L125" s="6">
        <f t="shared" si="1"/>
        <v>280</v>
      </c>
      <c r="M125" s="3">
        <v>80</v>
      </c>
      <c r="N125" s="3">
        <v>9</v>
      </c>
      <c r="O125" s="3">
        <v>2</v>
      </c>
      <c r="P125" s="3">
        <v>4</v>
      </c>
      <c r="Q125" s="6">
        <f>(P125-O125)/O125</f>
        <v>1</v>
      </c>
      <c r="R125" s="1">
        <v>2012</v>
      </c>
      <c r="S125" s="16">
        <v>0.2055122828040743</v>
      </c>
      <c r="T125" s="1">
        <v>1724</v>
      </c>
      <c r="U125" s="3">
        <v>800</v>
      </c>
      <c r="V125" s="3">
        <v>0</v>
      </c>
      <c r="W125" s="5" t="s">
        <v>245</v>
      </c>
      <c r="X125" s="3">
        <v>0</v>
      </c>
      <c r="Y125" s="3">
        <v>0</v>
      </c>
      <c r="Z125" s="1">
        <v>1</v>
      </c>
      <c r="AA125" s="7">
        <f>((R125-T125)/T125)*100</f>
        <v>16.705336426914151</v>
      </c>
      <c r="AB125" s="3">
        <v>0.5</v>
      </c>
      <c r="AC125" s="3">
        <v>0</v>
      </c>
      <c r="AD125" s="3">
        <v>1</v>
      </c>
      <c r="AE125" s="3">
        <v>0</v>
      </c>
      <c r="AF125" s="3">
        <v>0</v>
      </c>
      <c r="AG125" s="3">
        <f>P125*R125</f>
        <v>8048</v>
      </c>
      <c r="AH125" s="3">
        <f>P125*T125</f>
        <v>6896</v>
      </c>
      <c r="AI125" s="6">
        <f>AG125/U125</f>
        <v>10.06</v>
      </c>
      <c r="AJ125" s="6">
        <f>AH125/U125</f>
        <v>8.6199999999999992</v>
      </c>
      <c r="AK125" s="3">
        <v>0</v>
      </c>
    </row>
    <row r="126" spans="1:37" x14ac:dyDescent="0.3">
      <c r="A126" s="3">
        <v>125</v>
      </c>
      <c r="B126" t="s">
        <v>246</v>
      </c>
      <c r="C126" s="3" t="s">
        <v>223</v>
      </c>
      <c r="D126" s="3">
        <v>7</v>
      </c>
      <c r="E126" s="3">
        <v>0</v>
      </c>
      <c r="F126" s="3">
        <v>18</v>
      </c>
      <c r="G126" s="3">
        <v>18</v>
      </c>
      <c r="H126" s="6">
        <f>(F126+G126)/2</f>
        <v>18</v>
      </c>
      <c r="I126" s="3">
        <v>30</v>
      </c>
      <c r="J126" s="3">
        <v>40</v>
      </c>
      <c r="K126" s="6">
        <f>(J126+I126)/2</f>
        <v>35</v>
      </c>
      <c r="L126" s="6">
        <f t="shared" si="1"/>
        <v>630</v>
      </c>
      <c r="M126" s="3">
        <v>150</v>
      </c>
      <c r="N126" s="3">
        <v>15</v>
      </c>
      <c r="O126" s="3">
        <v>2</v>
      </c>
      <c r="P126" s="3">
        <v>3</v>
      </c>
      <c r="Q126" s="6">
        <f>(P126-O126)/O126</f>
        <v>0.5</v>
      </c>
      <c r="R126" s="1">
        <v>4336</v>
      </c>
      <c r="S126" s="16">
        <v>0</v>
      </c>
      <c r="T126" s="1">
        <v>3097</v>
      </c>
      <c r="U126" s="3">
        <v>1500</v>
      </c>
      <c r="V126" s="3">
        <v>0</v>
      </c>
      <c r="W126" s="5" t="s">
        <v>247</v>
      </c>
      <c r="X126" s="3">
        <v>0</v>
      </c>
      <c r="Y126" s="3">
        <v>1</v>
      </c>
      <c r="Z126" s="1">
        <v>0</v>
      </c>
      <c r="AA126" s="7">
        <f>((R126-T126)/T126)*100</f>
        <v>40.006457862447533</v>
      </c>
      <c r="AB126" s="3">
        <v>0.3</v>
      </c>
      <c r="AC126" s="3">
        <v>0</v>
      </c>
      <c r="AD126" s="3">
        <v>0.25</v>
      </c>
      <c r="AE126" s="3">
        <v>0</v>
      </c>
      <c r="AF126" s="3">
        <v>0</v>
      </c>
      <c r="AG126" s="3">
        <f>P126*R126</f>
        <v>13008</v>
      </c>
      <c r="AH126" s="3">
        <f>P126*T126</f>
        <v>9291</v>
      </c>
      <c r="AI126" s="6">
        <f>AG126/U126</f>
        <v>8.6720000000000006</v>
      </c>
      <c r="AJ126" s="6">
        <f>AH126/U126</f>
        <v>6.194</v>
      </c>
      <c r="AK126" s="3">
        <v>1</v>
      </c>
    </row>
    <row r="127" spans="1:37" x14ac:dyDescent="0.3">
      <c r="A127" s="3">
        <v>126</v>
      </c>
      <c r="B127" t="s">
        <v>248</v>
      </c>
      <c r="C127" s="3" t="s">
        <v>223</v>
      </c>
      <c r="D127" s="3">
        <v>7.5</v>
      </c>
      <c r="E127" s="3">
        <v>1</v>
      </c>
      <c r="F127" s="3">
        <v>21</v>
      </c>
      <c r="G127" s="3">
        <v>18</v>
      </c>
      <c r="H127" s="6">
        <f>(F127+G127)/2</f>
        <v>19.5</v>
      </c>
      <c r="I127" s="3">
        <v>30</v>
      </c>
      <c r="J127" s="3">
        <v>40</v>
      </c>
      <c r="K127" s="6">
        <f>(J127+I127)/2</f>
        <v>35</v>
      </c>
      <c r="L127" s="6">
        <f t="shared" si="1"/>
        <v>682.5</v>
      </c>
      <c r="M127" s="3">
        <v>200</v>
      </c>
      <c r="N127" s="3">
        <v>21</v>
      </c>
      <c r="O127" s="3">
        <v>2</v>
      </c>
      <c r="P127" s="3">
        <v>3</v>
      </c>
      <c r="Q127" s="6">
        <f>(P127-O127)/O127</f>
        <v>0.5</v>
      </c>
      <c r="R127" s="1">
        <v>6721</v>
      </c>
      <c r="S127" s="16">
        <v>0.55004612546125464</v>
      </c>
      <c r="T127" s="1">
        <v>4929</v>
      </c>
      <c r="U127" s="3">
        <v>2000</v>
      </c>
      <c r="V127" s="3">
        <v>1</v>
      </c>
      <c r="W127" s="5" t="s">
        <v>249</v>
      </c>
      <c r="X127" s="3">
        <v>0</v>
      </c>
      <c r="Y127" s="3">
        <v>1</v>
      </c>
      <c r="Z127" s="1">
        <v>0</v>
      </c>
      <c r="AA127" s="7">
        <f>((R127-T127)/T127)*100</f>
        <v>36.356258876039767</v>
      </c>
      <c r="AB127" s="3">
        <v>0.3</v>
      </c>
      <c r="AC127" s="3">
        <v>0</v>
      </c>
      <c r="AD127" s="3">
        <v>0.25</v>
      </c>
      <c r="AE127" s="3">
        <v>0</v>
      </c>
      <c r="AF127" s="3">
        <v>0</v>
      </c>
      <c r="AG127" s="3">
        <f>P127*R127</f>
        <v>20163</v>
      </c>
      <c r="AH127" s="3">
        <f>P127*T127</f>
        <v>14787</v>
      </c>
      <c r="AI127" s="6">
        <f>AG127/U127</f>
        <v>10.0815</v>
      </c>
      <c r="AJ127" s="6">
        <f>AH127/U127</f>
        <v>7.3935000000000004</v>
      </c>
      <c r="AK127" s="3">
        <v>1</v>
      </c>
    </row>
    <row r="128" spans="1:37" x14ac:dyDescent="0.3">
      <c r="A128" s="3">
        <v>127</v>
      </c>
      <c r="B128" t="s">
        <v>250</v>
      </c>
      <c r="C128" s="3" t="s">
        <v>251</v>
      </c>
      <c r="D128" s="3">
        <v>1</v>
      </c>
      <c r="E128" s="3">
        <v>0</v>
      </c>
      <c r="F128" s="3">
        <v>5</v>
      </c>
      <c r="G128" s="3">
        <v>2</v>
      </c>
      <c r="H128" s="6">
        <f>(F128+G128)/2</f>
        <v>3.5</v>
      </c>
      <c r="I128" s="3">
        <v>1</v>
      </c>
      <c r="J128" s="3">
        <v>2</v>
      </c>
      <c r="K128" s="6">
        <f>(J128+I128)/2</f>
        <v>1.5</v>
      </c>
      <c r="L128" s="6">
        <f t="shared" si="1"/>
        <v>5.25</v>
      </c>
      <c r="M128" s="3">
        <v>4</v>
      </c>
      <c r="N128" s="3">
        <v>6</v>
      </c>
      <c r="O128" s="3">
        <v>16</v>
      </c>
      <c r="P128" s="3">
        <v>32</v>
      </c>
      <c r="Q128" s="6">
        <f>(P128-O128)/O128</f>
        <v>1</v>
      </c>
      <c r="R128" s="1">
        <v>57</v>
      </c>
      <c r="S128" s="16">
        <v>0</v>
      </c>
      <c r="T128" s="1">
        <v>52</v>
      </c>
      <c r="U128" s="3">
        <v>35</v>
      </c>
      <c r="V128" s="3">
        <v>0</v>
      </c>
      <c r="W128" s="5" t="s">
        <v>252</v>
      </c>
      <c r="X128" s="3">
        <v>0</v>
      </c>
      <c r="Y128" s="3">
        <v>1</v>
      </c>
      <c r="Z128" s="1">
        <v>0</v>
      </c>
      <c r="AA128" s="7">
        <f>((R128-T128)/T128)*100</f>
        <v>9.6153846153846168</v>
      </c>
      <c r="AB128" s="3">
        <v>0</v>
      </c>
      <c r="AC128" s="3">
        <v>0</v>
      </c>
      <c r="AD128" s="3">
        <v>0.03</v>
      </c>
      <c r="AE128" s="3">
        <v>0</v>
      </c>
      <c r="AF128" s="3">
        <v>0</v>
      </c>
      <c r="AG128" s="3">
        <f>P128*R128</f>
        <v>1824</v>
      </c>
      <c r="AH128" s="3">
        <f>P128*T128</f>
        <v>1664</v>
      </c>
      <c r="AI128" s="6">
        <f>AG128/U128</f>
        <v>52.114285714285714</v>
      </c>
      <c r="AJ128" s="6">
        <f>AH128/U128</f>
        <v>47.542857142857144</v>
      </c>
      <c r="AK128" s="3">
        <v>1</v>
      </c>
    </row>
    <row r="129" spans="1:37" x14ac:dyDescent="0.3">
      <c r="A129" s="3">
        <v>128</v>
      </c>
      <c r="B129" t="s">
        <v>253</v>
      </c>
      <c r="C129" s="3" t="s">
        <v>251</v>
      </c>
      <c r="D129" s="3">
        <v>1.5</v>
      </c>
      <c r="E129" s="3">
        <v>1</v>
      </c>
      <c r="F129" s="3">
        <v>6</v>
      </c>
      <c r="G129" s="3">
        <v>2</v>
      </c>
      <c r="H129" s="6">
        <f>(F129+G129)/2</f>
        <v>4</v>
      </c>
      <c r="I129" s="3">
        <v>1</v>
      </c>
      <c r="J129" s="3">
        <v>3</v>
      </c>
      <c r="K129" s="6">
        <f>(J129+I129)/2</f>
        <v>2</v>
      </c>
      <c r="L129" s="6">
        <f t="shared" si="1"/>
        <v>8</v>
      </c>
      <c r="M129" s="3">
        <v>4</v>
      </c>
      <c r="N129" s="3">
        <v>8</v>
      </c>
      <c r="O129" s="3">
        <v>16</v>
      </c>
      <c r="P129" s="3">
        <v>32</v>
      </c>
      <c r="Q129" s="6">
        <f>(P129-O129)/O129</f>
        <v>1</v>
      </c>
      <c r="R129" s="1">
        <v>75</v>
      </c>
      <c r="S129" s="16">
        <v>0.31578947368421051</v>
      </c>
      <c r="T129" s="1">
        <v>60</v>
      </c>
      <c r="U129" s="3">
        <v>45</v>
      </c>
      <c r="V129" s="3">
        <v>0</v>
      </c>
      <c r="W129" s="5" t="s">
        <v>252</v>
      </c>
      <c r="X129" s="3">
        <v>0</v>
      </c>
      <c r="Y129" s="3">
        <v>1</v>
      </c>
      <c r="Z129" s="1">
        <v>0</v>
      </c>
      <c r="AA129" s="7">
        <f>((R129-T129)/T129)*100</f>
        <v>25</v>
      </c>
      <c r="AB129" s="3">
        <v>0</v>
      </c>
      <c r="AC129" s="3">
        <v>0</v>
      </c>
      <c r="AD129" s="3">
        <v>0.03</v>
      </c>
      <c r="AE129" s="3">
        <v>0</v>
      </c>
      <c r="AF129" s="3">
        <v>0</v>
      </c>
      <c r="AG129" s="3">
        <f>P129*R129</f>
        <v>2400</v>
      </c>
      <c r="AH129" s="3">
        <f>P129*T129</f>
        <v>1920</v>
      </c>
      <c r="AI129" s="6">
        <f>AG129/U129</f>
        <v>53.333333333333336</v>
      </c>
      <c r="AJ129" s="6">
        <f>AH129/U129</f>
        <v>42.666666666666664</v>
      </c>
      <c r="AK129" s="3">
        <v>1</v>
      </c>
    </row>
    <row r="130" spans="1:37" x14ac:dyDescent="0.3">
      <c r="A130" s="3">
        <v>129</v>
      </c>
      <c r="B130" t="s">
        <v>254</v>
      </c>
      <c r="C130" s="3" t="s">
        <v>251</v>
      </c>
      <c r="D130" s="3">
        <v>2</v>
      </c>
      <c r="E130" s="3">
        <v>0</v>
      </c>
      <c r="F130" s="3">
        <v>7</v>
      </c>
      <c r="G130" s="3">
        <v>4</v>
      </c>
      <c r="H130" s="6">
        <f>(F130+G130)/2</f>
        <v>5.5</v>
      </c>
      <c r="I130" s="3">
        <v>2</v>
      </c>
      <c r="J130" s="3">
        <v>4</v>
      </c>
      <c r="K130" s="6">
        <f>(J130+I130)/2</f>
        <v>3</v>
      </c>
      <c r="L130" s="6">
        <f t="shared" si="1"/>
        <v>16.5</v>
      </c>
      <c r="M130" s="3">
        <v>15</v>
      </c>
      <c r="N130" s="3">
        <v>5</v>
      </c>
      <c r="O130" s="3">
        <v>9</v>
      </c>
      <c r="P130" s="3">
        <v>22</v>
      </c>
      <c r="Q130" s="6">
        <f>(P130-O130)/O130</f>
        <v>1.4444444444444444</v>
      </c>
      <c r="R130" s="1">
        <v>155</v>
      </c>
      <c r="S130" s="16">
        <v>0</v>
      </c>
      <c r="T130" s="1">
        <v>155</v>
      </c>
      <c r="U130" s="3">
        <v>110</v>
      </c>
      <c r="V130" s="3">
        <v>0</v>
      </c>
      <c r="W130" s="5" t="s">
        <v>45</v>
      </c>
      <c r="X130" s="3">
        <v>0</v>
      </c>
      <c r="Y130" s="3">
        <v>0</v>
      </c>
      <c r="Z130" s="1">
        <v>0</v>
      </c>
      <c r="AA130" s="7">
        <f>((R130-T130)/T130)*100</f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f>P130*R130</f>
        <v>3410</v>
      </c>
      <c r="AH130" s="3">
        <f>P130*T130</f>
        <v>3410</v>
      </c>
      <c r="AI130" s="6">
        <f>AG130/U130</f>
        <v>31</v>
      </c>
      <c r="AJ130" s="6">
        <f>AH130/U130</f>
        <v>31</v>
      </c>
      <c r="AK130" s="3">
        <v>0</v>
      </c>
    </row>
    <row r="131" spans="1:37" x14ac:dyDescent="0.3">
      <c r="A131" s="3">
        <v>130</v>
      </c>
      <c r="B131" t="s">
        <v>255</v>
      </c>
      <c r="C131" s="3" t="s">
        <v>251</v>
      </c>
      <c r="D131" s="3">
        <v>2.5</v>
      </c>
      <c r="E131" s="3">
        <v>1</v>
      </c>
      <c r="F131" s="3">
        <v>8</v>
      </c>
      <c r="G131" s="3">
        <v>6</v>
      </c>
      <c r="H131" s="6">
        <f>(F131+G131)/2</f>
        <v>7</v>
      </c>
      <c r="I131" s="3">
        <v>3</v>
      </c>
      <c r="J131" s="3">
        <v>4</v>
      </c>
      <c r="K131" s="6">
        <f>(J131+I131)/2</f>
        <v>3.5</v>
      </c>
      <c r="L131" s="6">
        <f t="shared" ref="L131:L158" si="2">H131*K131</f>
        <v>24.5</v>
      </c>
      <c r="M131" s="3">
        <v>15</v>
      </c>
      <c r="N131" s="3">
        <v>6</v>
      </c>
      <c r="O131" s="3">
        <v>9</v>
      </c>
      <c r="P131" s="3">
        <v>22</v>
      </c>
      <c r="Q131" s="6">
        <f>(P131-O131)/O131</f>
        <v>1.4444444444444444</v>
      </c>
      <c r="R131" s="1">
        <v>174</v>
      </c>
      <c r="S131" s="16">
        <v>0.12258064516129032</v>
      </c>
      <c r="T131" s="1">
        <v>174</v>
      </c>
      <c r="U131" s="3">
        <v>140</v>
      </c>
      <c r="V131" s="3">
        <v>0</v>
      </c>
      <c r="W131" s="5" t="s">
        <v>45</v>
      </c>
      <c r="X131" s="3">
        <v>0</v>
      </c>
      <c r="Y131" s="3">
        <v>0</v>
      </c>
      <c r="Z131" s="1">
        <v>0</v>
      </c>
      <c r="AA131" s="7">
        <f>((R131-T131)/T131)*100</f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f>P131*R131</f>
        <v>3828</v>
      </c>
      <c r="AH131" s="3">
        <f>P131*T131</f>
        <v>3828</v>
      </c>
      <c r="AI131" s="6">
        <f>AG131/U131</f>
        <v>27.342857142857142</v>
      </c>
      <c r="AJ131" s="6">
        <f>AH131/U131</f>
        <v>27.342857142857142</v>
      </c>
      <c r="AK131" s="3">
        <v>0</v>
      </c>
    </row>
    <row r="132" spans="1:37" x14ac:dyDescent="0.3">
      <c r="A132" s="3">
        <v>131</v>
      </c>
      <c r="B132" t="s">
        <v>305</v>
      </c>
      <c r="C132" s="3" t="s">
        <v>251</v>
      </c>
      <c r="D132" s="3">
        <v>3</v>
      </c>
      <c r="E132" s="3">
        <v>0</v>
      </c>
      <c r="F132" s="3">
        <v>8</v>
      </c>
      <c r="G132" s="3">
        <v>6</v>
      </c>
      <c r="H132" s="6">
        <f>(F132+G132)/2</f>
        <v>7</v>
      </c>
      <c r="I132" s="3">
        <v>3</v>
      </c>
      <c r="J132" s="3">
        <v>7</v>
      </c>
      <c r="K132" s="6">
        <f>(J132+I132)/2</f>
        <v>5</v>
      </c>
      <c r="L132" s="6">
        <f t="shared" si="2"/>
        <v>35</v>
      </c>
      <c r="M132" s="3">
        <v>15</v>
      </c>
      <c r="N132" s="3">
        <v>6</v>
      </c>
      <c r="O132" s="3">
        <v>7</v>
      </c>
      <c r="P132" s="3">
        <v>14</v>
      </c>
      <c r="Q132" s="6">
        <f>(P132-O132)/O132</f>
        <v>1</v>
      </c>
      <c r="R132" s="1">
        <v>312</v>
      </c>
      <c r="S132" s="16">
        <v>0</v>
      </c>
      <c r="T132" s="1">
        <v>208</v>
      </c>
      <c r="U132" s="3">
        <v>225</v>
      </c>
      <c r="V132" s="3">
        <v>0</v>
      </c>
      <c r="W132" s="5" t="s">
        <v>306</v>
      </c>
      <c r="X132" s="3">
        <v>1</v>
      </c>
      <c r="Y132" s="3">
        <v>0</v>
      </c>
      <c r="Z132" s="1">
        <v>0</v>
      </c>
      <c r="AA132" s="7">
        <f>((R132-T132)/T132)*100</f>
        <v>50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f>P132*R132</f>
        <v>4368</v>
      </c>
      <c r="AH132" s="3">
        <f>P132*T132</f>
        <v>2912</v>
      </c>
      <c r="AI132" s="6">
        <f>AG132/U132</f>
        <v>19.413333333333334</v>
      </c>
      <c r="AJ132" s="6">
        <f>AH132/U132</f>
        <v>12.942222222222222</v>
      </c>
      <c r="AK132" s="3">
        <v>1</v>
      </c>
    </row>
    <row r="133" spans="1:37" x14ac:dyDescent="0.3">
      <c r="A133" s="3">
        <v>132</v>
      </c>
      <c r="B133" t="s">
        <v>256</v>
      </c>
      <c r="C133" s="3" t="s">
        <v>251</v>
      </c>
      <c r="D133" s="3">
        <v>3</v>
      </c>
      <c r="E133" s="3">
        <v>0</v>
      </c>
      <c r="F133" s="3">
        <v>10</v>
      </c>
      <c r="G133" s="3">
        <v>8</v>
      </c>
      <c r="H133" s="6">
        <f>(F133+G133)/2</f>
        <v>9</v>
      </c>
      <c r="I133" s="3">
        <v>3</v>
      </c>
      <c r="J133" s="3">
        <v>7</v>
      </c>
      <c r="K133" s="6">
        <f>(J133+I133)/2</f>
        <v>5</v>
      </c>
      <c r="L133" s="6">
        <f t="shared" si="2"/>
        <v>45</v>
      </c>
      <c r="M133" s="3">
        <v>15</v>
      </c>
      <c r="N133" s="3">
        <v>7</v>
      </c>
      <c r="O133" s="3">
        <v>7</v>
      </c>
      <c r="P133" s="3">
        <v>14</v>
      </c>
      <c r="Q133" s="6">
        <f>(P133-O133)/O133</f>
        <v>1</v>
      </c>
      <c r="R133" s="1">
        <v>407</v>
      </c>
      <c r="S133" s="16">
        <v>0.3</v>
      </c>
      <c r="T133" s="1">
        <v>311</v>
      </c>
      <c r="U133" s="3">
        <v>275</v>
      </c>
      <c r="V133" s="3">
        <v>0</v>
      </c>
      <c r="W133" s="5" t="s">
        <v>257</v>
      </c>
      <c r="X133" s="3">
        <v>1</v>
      </c>
      <c r="Y133" s="3">
        <v>0</v>
      </c>
      <c r="Z133" s="1">
        <v>1</v>
      </c>
      <c r="AA133" s="7">
        <f>((R133-T133)/T133)*100</f>
        <v>30.868167202572351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f>P133*R133</f>
        <v>5698</v>
      </c>
      <c r="AH133" s="3">
        <f>P133*T133</f>
        <v>4354</v>
      </c>
      <c r="AI133" s="6">
        <f>AG133/U133</f>
        <v>20.72</v>
      </c>
      <c r="AJ133" s="6">
        <f>AH133/U133</f>
        <v>15.832727272727272</v>
      </c>
      <c r="AK133" s="3">
        <v>1</v>
      </c>
    </row>
    <row r="134" spans="1:37" x14ac:dyDescent="0.3">
      <c r="A134" s="3">
        <v>133</v>
      </c>
      <c r="B134" t="s">
        <v>258</v>
      </c>
      <c r="C134" s="3" t="s">
        <v>251</v>
      </c>
      <c r="D134" s="3">
        <v>3.5</v>
      </c>
      <c r="E134" s="3">
        <v>1</v>
      </c>
      <c r="F134" s="3">
        <v>12</v>
      </c>
      <c r="G134" s="3">
        <v>11</v>
      </c>
      <c r="H134" s="6">
        <f>(F134+G134)/2</f>
        <v>11.5</v>
      </c>
      <c r="I134" s="3">
        <v>3</v>
      </c>
      <c r="J134" s="3">
        <v>7</v>
      </c>
      <c r="K134" s="6">
        <f>(J134+I134)/2</f>
        <v>5</v>
      </c>
      <c r="L134" s="6">
        <f t="shared" si="2"/>
        <v>57.5</v>
      </c>
      <c r="M134" s="3">
        <v>15</v>
      </c>
      <c r="N134" s="3">
        <v>8</v>
      </c>
      <c r="O134" s="3">
        <v>7</v>
      </c>
      <c r="P134" s="3">
        <v>14</v>
      </c>
      <c r="Q134" s="6">
        <f>(P134-O134)/O134</f>
        <v>1</v>
      </c>
      <c r="R134" s="1">
        <v>602</v>
      </c>
      <c r="S134" s="16">
        <v>0.47911547911547914</v>
      </c>
      <c r="T134" s="1">
        <v>376</v>
      </c>
      <c r="U134" s="3">
        <v>375</v>
      </c>
      <c r="V134" s="3">
        <v>0</v>
      </c>
      <c r="W134" s="5" t="s">
        <v>259</v>
      </c>
      <c r="X134" s="3">
        <v>1</v>
      </c>
      <c r="Y134" s="3">
        <v>0</v>
      </c>
      <c r="Z134" s="1">
        <v>1</v>
      </c>
      <c r="AA134" s="7">
        <f>((R134-T134)/T134)*100</f>
        <v>60.106382978723403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f>P134*R134</f>
        <v>8428</v>
      </c>
      <c r="AH134" s="3">
        <f>P134*T134</f>
        <v>5264</v>
      </c>
      <c r="AI134" s="6">
        <f>AG134/U134</f>
        <v>22.474666666666668</v>
      </c>
      <c r="AJ134" s="6">
        <f>AH134/U134</f>
        <v>14.037333333333333</v>
      </c>
      <c r="AK134" s="3">
        <v>1</v>
      </c>
    </row>
    <row r="135" spans="1:37" x14ac:dyDescent="0.3">
      <c r="A135" s="3">
        <v>134</v>
      </c>
      <c r="B135" t="s">
        <v>260</v>
      </c>
      <c r="C135" s="3" t="s">
        <v>251</v>
      </c>
      <c r="D135" s="3">
        <v>4</v>
      </c>
      <c r="E135" s="3">
        <v>0</v>
      </c>
      <c r="F135" s="3">
        <v>10</v>
      </c>
      <c r="G135" s="3">
        <v>8</v>
      </c>
      <c r="H135" s="6">
        <f>(F135+G135)/2</f>
        <v>9</v>
      </c>
      <c r="I135" s="3">
        <v>6</v>
      </c>
      <c r="J135" s="3">
        <v>9</v>
      </c>
      <c r="K135" s="6">
        <f>(J135+I135)/2</f>
        <v>7.5</v>
      </c>
      <c r="L135" s="6">
        <f t="shared" si="2"/>
        <v>67.5</v>
      </c>
      <c r="M135" s="3">
        <v>30</v>
      </c>
      <c r="N135" s="3">
        <v>9</v>
      </c>
      <c r="O135" s="3">
        <v>4</v>
      </c>
      <c r="P135" s="3">
        <v>11</v>
      </c>
      <c r="Q135" s="6">
        <f>(P135-O135)/O135</f>
        <v>1.75</v>
      </c>
      <c r="R135" s="1">
        <v>502</v>
      </c>
      <c r="S135" s="16">
        <v>0</v>
      </c>
      <c r="T135" s="1">
        <v>386</v>
      </c>
      <c r="U135" s="3">
        <v>275</v>
      </c>
      <c r="V135" s="3">
        <v>0</v>
      </c>
      <c r="W135" s="5" t="s">
        <v>174</v>
      </c>
      <c r="X135" s="3">
        <v>0</v>
      </c>
      <c r="Y135" s="3">
        <v>1</v>
      </c>
      <c r="Z135" s="1">
        <v>0</v>
      </c>
      <c r="AA135" s="7">
        <f>((R135-T135)/T135)*100</f>
        <v>30.051813471502591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f>P135*R135</f>
        <v>5522</v>
      </c>
      <c r="AH135" s="3">
        <f>P135*T135</f>
        <v>4246</v>
      </c>
      <c r="AI135" s="6">
        <f>AG135/U135</f>
        <v>20.079999999999998</v>
      </c>
      <c r="AJ135" s="6">
        <f>AH135/U135</f>
        <v>15.44</v>
      </c>
      <c r="AK135" s="3">
        <v>1</v>
      </c>
    </row>
    <row r="136" spans="1:37" x14ac:dyDescent="0.3">
      <c r="A136" s="3">
        <v>135</v>
      </c>
      <c r="B136" t="s">
        <v>261</v>
      </c>
      <c r="C136" s="3" t="s">
        <v>251</v>
      </c>
      <c r="D136" s="3">
        <v>4.5</v>
      </c>
      <c r="E136" s="3">
        <v>1</v>
      </c>
      <c r="F136" s="3">
        <v>11</v>
      </c>
      <c r="G136" s="3">
        <v>8</v>
      </c>
      <c r="H136" s="6">
        <f>(F136+G136)/2</f>
        <v>9.5</v>
      </c>
      <c r="I136" s="3">
        <v>6</v>
      </c>
      <c r="J136" s="3">
        <v>10</v>
      </c>
      <c r="K136" s="6">
        <f>(J136+I136)/2</f>
        <v>8</v>
      </c>
      <c r="L136" s="6">
        <f t="shared" si="2"/>
        <v>76</v>
      </c>
      <c r="M136" s="3">
        <v>30</v>
      </c>
      <c r="N136" s="3">
        <v>11</v>
      </c>
      <c r="O136" s="3">
        <v>4</v>
      </c>
      <c r="P136" s="3">
        <v>11</v>
      </c>
      <c r="Q136" s="6">
        <f>(P136-O136)/O136</f>
        <v>1.75</v>
      </c>
      <c r="R136" s="1">
        <v>645</v>
      </c>
      <c r="S136" s="16">
        <v>0.28486055776892433</v>
      </c>
      <c r="T136" s="1">
        <v>478</v>
      </c>
      <c r="U136" s="3">
        <v>325</v>
      </c>
      <c r="V136" s="3">
        <v>0</v>
      </c>
      <c r="W136" s="5" t="s">
        <v>262</v>
      </c>
      <c r="X136" s="3">
        <v>0</v>
      </c>
      <c r="Y136" s="3">
        <v>1</v>
      </c>
      <c r="Z136" s="1">
        <v>0</v>
      </c>
      <c r="AA136" s="7">
        <f>((R136-T136)/T136)*100</f>
        <v>34.937238493723846</v>
      </c>
      <c r="AB136" s="3">
        <v>0.9</v>
      </c>
      <c r="AC136" s="3">
        <v>0</v>
      </c>
      <c r="AD136" s="3">
        <v>0</v>
      </c>
      <c r="AE136" s="3">
        <v>0</v>
      </c>
      <c r="AF136" s="3">
        <v>0</v>
      </c>
      <c r="AG136" s="3">
        <f>P136*R136</f>
        <v>7095</v>
      </c>
      <c r="AH136" s="3">
        <f>P136*T136</f>
        <v>5258</v>
      </c>
      <c r="AI136" s="6">
        <f>AG136/U136</f>
        <v>21.830769230769231</v>
      </c>
      <c r="AJ136" s="6">
        <f>AH136/U136</f>
        <v>16.178461538461537</v>
      </c>
      <c r="AK136" s="3">
        <v>1</v>
      </c>
    </row>
    <row r="137" spans="1:37" x14ac:dyDescent="0.3">
      <c r="A137" s="3">
        <v>136</v>
      </c>
      <c r="B137" t="s">
        <v>263</v>
      </c>
      <c r="C137" s="3" t="s">
        <v>251</v>
      </c>
      <c r="D137" s="3">
        <v>5</v>
      </c>
      <c r="E137" s="3">
        <v>0</v>
      </c>
      <c r="F137" s="3">
        <v>12</v>
      </c>
      <c r="G137" s="3">
        <v>7</v>
      </c>
      <c r="H137" s="6">
        <f>(F137+G137)/2</f>
        <v>9.5</v>
      </c>
      <c r="I137" s="3">
        <v>10</v>
      </c>
      <c r="J137" s="3">
        <v>14</v>
      </c>
      <c r="K137" s="6">
        <f>(J137+I137)/2</f>
        <v>12</v>
      </c>
      <c r="L137" s="6">
        <f t="shared" si="2"/>
        <v>114</v>
      </c>
      <c r="M137" s="3">
        <v>35</v>
      </c>
      <c r="N137" s="3">
        <v>6</v>
      </c>
      <c r="O137" s="3">
        <v>3</v>
      </c>
      <c r="P137" s="3">
        <v>6</v>
      </c>
      <c r="Q137" s="6">
        <f>(P137-O137)/O137</f>
        <v>1</v>
      </c>
      <c r="R137" s="1">
        <v>790</v>
      </c>
      <c r="S137" s="16">
        <v>0</v>
      </c>
      <c r="T137" s="1">
        <v>608</v>
      </c>
      <c r="U137" s="3">
        <v>515</v>
      </c>
      <c r="V137" s="3">
        <v>0</v>
      </c>
      <c r="W137" s="5" t="s">
        <v>264</v>
      </c>
      <c r="X137" s="3">
        <v>1</v>
      </c>
      <c r="Y137" s="3">
        <v>0</v>
      </c>
      <c r="Z137" s="1">
        <v>0</v>
      </c>
      <c r="AA137" s="7">
        <f>((R137-T137)/T137)*100</f>
        <v>29.934210526315791</v>
      </c>
      <c r="AB137" s="3">
        <v>0</v>
      </c>
      <c r="AC137" s="3">
        <v>0</v>
      </c>
      <c r="AD137" s="3">
        <v>0</v>
      </c>
      <c r="AE137" s="3">
        <v>0</v>
      </c>
      <c r="AF137" s="3">
        <v>1</v>
      </c>
      <c r="AG137" s="3">
        <f>P137*R137</f>
        <v>4740</v>
      </c>
      <c r="AH137" s="3">
        <f>P137*T137</f>
        <v>3648</v>
      </c>
      <c r="AI137" s="6">
        <f>AG137/U137</f>
        <v>9.2038834951456305</v>
      </c>
      <c r="AJ137" s="6">
        <f>AH137/U137</f>
        <v>7.0834951456310682</v>
      </c>
      <c r="AK137" s="3">
        <v>1</v>
      </c>
    </row>
    <row r="138" spans="1:37" x14ac:dyDescent="0.3">
      <c r="A138" s="3">
        <v>137</v>
      </c>
      <c r="B138" t="s">
        <v>265</v>
      </c>
      <c r="C138" s="3" t="s">
        <v>251</v>
      </c>
      <c r="D138" s="3">
        <v>5.5</v>
      </c>
      <c r="E138" s="3">
        <v>1</v>
      </c>
      <c r="F138" s="3">
        <v>12</v>
      </c>
      <c r="G138" s="3">
        <v>9</v>
      </c>
      <c r="H138" s="6">
        <f>(F138+G138)/2</f>
        <v>10.5</v>
      </c>
      <c r="I138" s="3">
        <v>10</v>
      </c>
      <c r="J138" s="3">
        <v>16</v>
      </c>
      <c r="K138" s="6">
        <f>(J138+I138)/2</f>
        <v>13</v>
      </c>
      <c r="L138" s="6">
        <f t="shared" si="2"/>
        <v>136.5</v>
      </c>
      <c r="M138" s="3">
        <v>35</v>
      </c>
      <c r="N138" s="3">
        <v>7</v>
      </c>
      <c r="O138" s="3">
        <v>3</v>
      </c>
      <c r="P138" s="3">
        <v>6</v>
      </c>
      <c r="Q138" s="6">
        <f>(P138-O138)/O138</f>
        <v>1</v>
      </c>
      <c r="R138" s="1">
        <v>852</v>
      </c>
      <c r="S138" s="16">
        <v>7.848101265822785E-2</v>
      </c>
      <c r="T138" s="1">
        <v>655</v>
      </c>
      <c r="U138" s="3">
        <v>565</v>
      </c>
      <c r="V138" s="3">
        <v>0</v>
      </c>
      <c r="W138" s="5" t="s">
        <v>264</v>
      </c>
      <c r="X138" s="3">
        <v>1</v>
      </c>
      <c r="Y138" s="3">
        <v>0</v>
      </c>
      <c r="Z138" s="1">
        <v>0</v>
      </c>
      <c r="AA138" s="7">
        <f>((R138-T138)/T138)*100</f>
        <v>30.076335877862597</v>
      </c>
      <c r="AB138" s="3">
        <v>0</v>
      </c>
      <c r="AC138" s="3">
        <v>0</v>
      </c>
      <c r="AD138" s="3">
        <v>0</v>
      </c>
      <c r="AE138" s="3">
        <v>0</v>
      </c>
      <c r="AF138" s="3">
        <v>1</v>
      </c>
      <c r="AG138" s="3">
        <f>P138*R138</f>
        <v>5112</v>
      </c>
      <c r="AH138" s="3">
        <f>P138*T138</f>
        <v>3930</v>
      </c>
      <c r="AI138" s="6">
        <f>AG138/U138</f>
        <v>9.0477876106194692</v>
      </c>
      <c r="AJ138" s="6">
        <f>AH138/U138</f>
        <v>6.9557522123893802</v>
      </c>
      <c r="AK138" s="3">
        <v>1</v>
      </c>
    </row>
    <row r="139" spans="1:37" x14ac:dyDescent="0.3">
      <c r="A139" s="3">
        <v>138</v>
      </c>
      <c r="B139" t="s">
        <v>266</v>
      </c>
      <c r="C139" s="3" t="s">
        <v>251</v>
      </c>
      <c r="D139" s="3">
        <v>6</v>
      </c>
      <c r="E139" s="3">
        <v>0</v>
      </c>
      <c r="F139" s="3">
        <v>13</v>
      </c>
      <c r="G139" s="3">
        <v>16</v>
      </c>
      <c r="H139" s="6">
        <f>(F139+G139)/2</f>
        <v>14.5</v>
      </c>
      <c r="I139" s="3">
        <v>18</v>
      </c>
      <c r="J139" s="3">
        <v>22</v>
      </c>
      <c r="K139" s="6">
        <f>(J139+I139)/2</f>
        <v>20</v>
      </c>
      <c r="L139" s="6">
        <f t="shared" si="2"/>
        <v>290</v>
      </c>
      <c r="M139" s="3">
        <v>80</v>
      </c>
      <c r="N139" s="3">
        <v>6</v>
      </c>
      <c r="O139" s="3">
        <v>2</v>
      </c>
      <c r="P139" s="3">
        <v>4</v>
      </c>
      <c r="Q139" s="6">
        <f>(P139-O139)/O139</f>
        <v>1</v>
      </c>
      <c r="R139" s="1">
        <v>1415</v>
      </c>
      <c r="S139" s="16">
        <v>0</v>
      </c>
      <c r="T139" s="1">
        <v>1415</v>
      </c>
      <c r="U139" s="3">
        <v>1000</v>
      </c>
      <c r="V139" s="3">
        <v>0</v>
      </c>
      <c r="W139" s="5" t="s">
        <v>267</v>
      </c>
      <c r="X139" s="3">
        <v>0</v>
      </c>
      <c r="Y139" s="3">
        <v>0</v>
      </c>
      <c r="Z139" s="1">
        <v>0</v>
      </c>
      <c r="AA139" s="7">
        <f>((R139-T139)/T139)*100</f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f>P139*R139</f>
        <v>5660</v>
      </c>
      <c r="AH139" s="3">
        <f>P139*T139</f>
        <v>5660</v>
      </c>
      <c r="AI139" s="6">
        <f>AG139/U139</f>
        <v>5.66</v>
      </c>
      <c r="AJ139" s="6">
        <f>AH139/U139</f>
        <v>5.66</v>
      </c>
      <c r="AK139" s="3">
        <v>0</v>
      </c>
    </row>
    <row r="140" spans="1:37" x14ac:dyDescent="0.3">
      <c r="A140" s="3">
        <v>139</v>
      </c>
      <c r="B140" t="s">
        <v>268</v>
      </c>
      <c r="C140" s="3" t="s">
        <v>251</v>
      </c>
      <c r="D140" s="3">
        <v>6.5</v>
      </c>
      <c r="E140" s="3">
        <v>1</v>
      </c>
      <c r="F140" s="3">
        <v>14</v>
      </c>
      <c r="G140" s="3">
        <v>17</v>
      </c>
      <c r="H140" s="6">
        <f>(F140+G140)/2</f>
        <v>15.5</v>
      </c>
      <c r="I140" s="3">
        <v>18</v>
      </c>
      <c r="J140" s="3">
        <v>22</v>
      </c>
      <c r="K140" s="6">
        <f>(J140+I140)/2</f>
        <v>20</v>
      </c>
      <c r="L140" s="6">
        <f t="shared" si="2"/>
        <v>310</v>
      </c>
      <c r="M140" s="3">
        <v>90</v>
      </c>
      <c r="N140" s="3">
        <v>7</v>
      </c>
      <c r="O140" s="3">
        <v>2</v>
      </c>
      <c r="P140" s="3">
        <v>4</v>
      </c>
      <c r="Q140" s="6">
        <f>(P140-O140)/O140</f>
        <v>1</v>
      </c>
      <c r="R140" s="1">
        <v>2116</v>
      </c>
      <c r="S140" s="16">
        <v>0.49540636042402825</v>
      </c>
      <c r="T140" s="1">
        <v>1763</v>
      </c>
      <c r="U140" s="3">
        <v>1300</v>
      </c>
      <c r="V140" s="3">
        <v>0</v>
      </c>
      <c r="W140" s="5" t="s">
        <v>269</v>
      </c>
      <c r="X140" s="3">
        <v>0</v>
      </c>
      <c r="Y140" s="3">
        <v>0</v>
      </c>
      <c r="Z140" s="1">
        <v>0</v>
      </c>
      <c r="AA140" s="7">
        <f>((R140-T140)/T140)*100</f>
        <v>20.022688598979013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f>P140*R140</f>
        <v>8464</v>
      </c>
      <c r="AH140" s="3">
        <f>P140*T140</f>
        <v>7052</v>
      </c>
      <c r="AI140" s="6">
        <f>AG140/U140</f>
        <v>6.5107692307692311</v>
      </c>
      <c r="AJ140" s="6">
        <f>AH140/U140</f>
        <v>5.4246153846153842</v>
      </c>
      <c r="AK140" s="3">
        <v>0</v>
      </c>
    </row>
    <row r="141" spans="1:37" x14ac:dyDescent="0.3">
      <c r="A141" s="3">
        <v>140</v>
      </c>
      <c r="B141" t="s">
        <v>270</v>
      </c>
      <c r="C141" s="3" t="s">
        <v>251</v>
      </c>
      <c r="D141" s="3">
        <v>7</v>
      </c>
      <c r="E141" s="3">
        <v>0</v>
      </c>
      <c r="F141" s="3">
        <v>22</v>
      </c>
      <c r="G141" s="3">
        <v>16</v>
      </c>
      <c r="H141" s="6">
        <f>(F141+G141)/2</f>
        <v>19</v>
      </c>
      <c r="I141" s="3">
        <v>30</v>
      </c>
      <c r="J141" s="3">
        <v>55</v>
      </c>
      <c r="K141" s="6">
        <f>(J141+I141)/2</f>
        <v>42.5</v>
      </c>
      <c r="L141" s="6">
        <f t="shared" si="2"/>
        <v>807.5</v>
      </c>
      <c r="M141" s="3">
        <v>180</v>
      </c>
      <c r="N141" s="3">
        <v>9</v>
      </c>
      <c r="O141" s="3">
        <v>1</v>
      </c>
      <c r="P141" s="3">
        <v>2</v>
      </c>
      <c r="Q141" s="6">
        <f>(P141-O141)/O141</f>
        <v>1</v>
      </c>
      <c r="R141" s="1">
        <v>3953</v>
      </c>
      <c r="S141" s="16">
        <v>0</v>
      </c>
      <c r="T141" s="1">
        <v>3162</v>
      </c>
      <c r="U141" s="3">
        <v>2200</v>
      </c>
      <c r="V141" s="3">
        <v>1</v>
      </c>
      <c r="W141" s="5" t="s">
        <v>271</v>
      </c>
      <c r="X141" s="3">
        <v>0</v>
      </c>
      <c r="Y141" s="3">
        <v>0</v>
      </c>
      <c r="Z141" s="1">
        <v>0</v>
      </c>
      <c r="AA141" s="7">
        <f>((R141-T141)/T141)*100</f>
        <v>25.015812776723596</v>
      </c>
      <c r="AB141" s="3">
        <v>0</v>
      </c>
      <c r="AC141" s="3">
        <v>1</v>
      </c>
      <c r="AD141" s="3">
        <v>0</v>
      </c>
      <c r="AE141" s="3">
        <v>0</v>
      </c>
      <c r="AF141" s="3">
        <v>0</v>
      </c>
      <c r="AG141" s="3">
        <f>P141*R141</f>
        <v>7906</v>
      </c>
      <c r="AH141" s="3">
        <f>P141*T141</f>
        <v>6324</v>
      </c>
      <c r="AI141" s="6">
        <f>AG141/U141</f>
        <v>3.5936363636363637</v>
      </c>
      <c r="AJ141" s="6">
        <f>AH141/U141</f>
        <v>2.8745454545454545</v>
      </c>
      <c r="AK141" s="3">
        <v>0</v>
      </c>
    </row>
    <row r="142" spans="1:37" x14ac:dyDescent="0.3">
      <c r="A142" s="3">
        <v>141</v>
      </c>
      <c r="B142" t="s">
        <v>272</v>
      </c>
      <c r="C142" s="3" t="s">
        <v>251</v>
      </c>
      <c r="D142" s="3">
        <v>7.5</v>
      </c>
      <c r="E142" s="3">
        <v>1</v>
      </c>
      <c r="F142" s="3">
        <v>29</v>
      </c>
      <c r="G142" s="3">
        <v>20</v>
      </c>
      <c r="H142" s="6">
        <f>(F142+G142)/2</f>
        <v>24.5</v>
      </c>
      <c r="I142" s="3">
        <v>30</v>
      </c>
      <c r="J142" s="3">
        <v>55</v>
      </c>
      <c r="K142" s="6">
        <f>(J142+I142)/2</f>
        <v>42.5</v>
      </c>
      <c r="L142" s="6">
        <f t="shared" si="2"/>
        <v>1041.25</v>
      </c>
      <c r="M142" s="3">
        <v>300</v>
      </c>
      <c r="N142" s="3">
        <v>12</v>
      </c>
      <c r="O142" s="3">
        <v>1</v>
      </c>
      <c r="P142" s="3">
        <v>2</v>
      </c>
      <c r="Q142" s="6">
        <f>(P142-O142)/O142</f>
        <v>1</v>
      </c>
      <c r="R142" s="1">
        <v>7220</v>
      </c>
      <c r="S142" s="16">
        <v>0.8264609157601821</v>
      </c>
      <c r="T142" s="1">
        <v>5554</v>
      </c>
      <c r="U142" s="3">
        <v>4000</v>
      </c>
      <c r="V142" s="3">
        <v>2</v>
      </c>
      <c r="W142" s="5" t="s">
        <v>273</v>
      </c>
      <c r="X142" s="3">
        <v>0</v>
      </c>
      <c r="Y142" s="3">
        <v>0</v>
      </c>
      <c r="Z142" s="1">
        <v>0</v>
      </c>
      <c r="AA142" s="7">
        <f>((R142-T142)/T142)*100</f>
        <v>29.996398991717683</v>
      </c>
      <c r="AB142" s="3">
        <v>0</v>
      </c>
      <c r="AC142" s="3">
        <v>1</v>
      </c>
      <c r="AD142" s="3">
        <v>0</v>
      </c>
      <c r="AE142" s="3">
        <v>0</v>
      </c>
      <c r="AF142" s="3">
        <v>0</v>
      </c>
      <c r="AG142" s="3">
        <f>P142*R142</f>
        <v>14440</v>
      </c>
      <c r="AH142" s="3">
        <f>P142*T142</f>
        <v>11108</v>
      </c>
      <c r="AI142" s="6">
        <f>AG142/U142</f>
        <v>3.61</v>
      </c>
      <c r="AJ142" s="6">
        <f>AH142/U142</f>
        <v>2.7770000000000001</v>
      </c>
      <c r="AK142" s="3">
        <v>0</v>
      </c>
    </row>
    <row r="143" spans="1:37" x14ac:dyDescent="0.3">
      <c r="A143" s="3">
        <v>142</v>
      </c>
      <c r="B143" t="s">
        <v>289</v>
      </c>
      <c r="C143" s="3" t="s">
        <v>304</v>
      </c>
      <c r="D143" s="3">
        <v>1</v>
      </c>
      <c r="E143" s="3">
        <v>0</v>
      </c>
      <c r="F143" s="3">
        <v>4</v>
      </c>
      <c r="G143" s="3">
        <v>2</v>
      </c>
      <c r="H143" s="6">
        <f>(F143+G143)/2</f>
        <v>3</v>
      </c>
      <c r="I143" s="3">
        <v>1</v>
      </c>
      <c r="J143" s="3">
        <v>3</v>
      </c>
      <c r="K143" s="6">
        <f>(J143+I143)/2</f>
        <v>2</v>
      </c>
      <c r="L143" s="6">
        <f t="shared" si="2"/>
        <v>6</v>
      </c>
      <c r="M143" s="3">
        <v>4</v>
      </c>
      <c r="N143" s="3">
        <v>5</v>
      </c>
      <c r="O143" s="3">
        <v>15</v>
      </c>
      <c r="P143" s="3">
        <v>30</v>
      </c>
      <c r="Q143" s="6">
        <f>(P143-O143)/O143</f>
        <v>1</v>
      </c>
      <c r="R143" s="1">
        <v>75</v>
      </c>
      <c r="S143" s="16">
        <v>0</v>
      </c>
      <c r="T143" s="1">
        <v>60</v>
      </c>
      <c r="U143" s="3">
        <v>40</v>
      </c>
      <c r="V143" s="3">
        <v>0</v>
      </c>
      <c r="W143" s="5" t="s">
        <v>275</v>
      </c>
      <c r="X143" s="3">
        <v>1</v>
      </c>
      <c r="Y143" s="3">
        <v>0</v>
      </c>
      <c r="Z143" s="1">
        <v>0</v>
      </c>
      <c r="AA143" s="7">
        <f>((R143-T143)/T143)*100</f>
        <v>25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f>P143*R143</f>
        <v>2250</v>
      </c>
      <c r="AH143" s="3">
        <f>P143*T143</f>
        <v>1800</v>
      </c>
      <c r="AI143" s="6">
        <f>AG143/U143</f>
        <v>56.25</v>
      </c>
      <c r="AJ143" s="6">
        <f>AH143/U143</f>
        <v>45</v>
      </c>
      <c r="AK143" s="3">
        <v>1</v>
      </c>
    </row>
    <row r="144" spans="1:37" x14ac:dyDescent="0.3">
      <c r="A144" s="3">
        <v>143</v>
      </c>
      <c r="B144" t="s">
        <v>288</v>
      </c>
      <c r="C144" s="3" t="s">
        <v>304</v>
      </c>
      <c r="D144" s="3">
        <v>1.5</v>
      </c>
      <c r="E144" s="3">
        <v>1</v>
      </c>
      <c r="F144" s="3">
        <v>5</v>
      </c>
      <c r="G144" s="3">
        <v>2</v>
      </c>
      <c r="H144" s="6">
        <f>(F144+G144)/2</f>
        <v>3.5</v>
      </c>
      <c r="I144" s="3">
        <v>2</v>
      </c>
      <c r="J144" s="3">
        <v>3</v>
      </c>
      <c r="K144" s="6">
        <f>(J144+I144)/2</f>
        <v>2.5</v>
      </c>
      <c r="L144" s="6">
        <f t="shared" si="2"/>
        <v>8.75</v>
      </c>
      <c r="M144" s="3">
        <v>4</v>
      </c>
      <c r="N144" s="3">
        <v>6</v>
      </c>
      <c r="O144" s="3">
        <v>15</v>
      </c>
      <c r="P144" s="3">
        <v>30</v>
      </c>
      <c r="Q144" s="6">
        <f>(P144-O144)/O144</f>
        <v>1</v>
      </c>
      <c r="R144" s="1">
        <v>95</v>
      </c>
      <c r="S144" s="16">
        <v>0.26666666666666666</v>
      </c>
      <c r="T144" s="1">
        <v>75</v>
      </c>
      <c r="U144" s="3">
        <v>60</v>
      </c>
      <c r="V144" s="3">
        <v>0</v>
      </c>
      <c r="W144" s="5" t="s">
        <v>276</v>
      </c>
      <c r="X144" s="3">
        <v>1</v>
      </c>
      <c r="Y144" s="3">
        <v>0</v>
      </c>
      <c r="Z144" s="1">
        <v>0</v>
      </c>
      <c r="AA144" s="7">
        <f>((R144-T144)/T144)*100</f>
        <v>26.666666666666668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f>P144*R144</f>
        <v>2850</v>
      </c>
      <c r="AH144" s="3">
        <f>P144*T144</f>
        <v>2250</v>
      </c>
      <c r="AI144" s="6">
        <f>AG144/U144</f>
        <v>47.5</v>
      </c>
      <c r="AJ144" s="6">
        <f>AH144/U144</f>
        <v>37.5</v>
      </c>
      <c r="AK144" s="3">
        <v>1</v>
      </c>
    </row>
    <row r="145" spans="1:37" x14ac:dyDescent="0.3">
      <c r="A145" s="3">
        <v>144</v>
      </c>
      <c r="B145" t="s">
        <v>292</v>
      </c>
      <c r="C145" s="3" t="s">
        <v>304</v>
      </c>
      <c r="D145" s="3">
        <v>2</v>
      </c>
      <c r="E145" s="3">
        <v>0</v>
      </c>
      <c r="F145" s="3">
        <v>6</v>
      </c>
      <c r="G145" s="3">
        <v>5</v>
      </c>
      <c r="H145" s="6">
        <f>(F145+G145)/2</f>
        <v>5.5</v>
      </c>
      <c r="I145" s="3">
        <v>3</v>
      </c>
      <c r="J145" s="3">
        <v>4</v>
      </c>
      <c r="K145" s="6">
        <f>(J145+I145)/2</f>
        <v>3.5</v>
      </c>
      <c r="L145" s="6">
        <f t="shared" si="2"/>
        <v>19.25</v>
      </c>
      <c r="M145" s="3">
        <v>14</v>
      </c>
      <c r="N145" s="3">
        <v>6</v>
      </c>
      <c r="O145" s="3">
        <v>8</v>
      </c>
      <c r="P145" s="3">
        <v>16</v>
      </c>
      <c r="Q145" s="6">
        <f>(P145-O145)/O145</f>
        <v>1</v>
      </c>
      <c r="R145" s="1">
        <v>186</v>
      </c>
      <c r="S145" s="16">
        <v>0</v>
      </c>
      <c r="T145" s="1">
        <v>186</v>
      </c>
      <c r="U145" s="3">
        <v>140</v>
      </c>
      <c r="V145" s="3">
        <v>0</v>
      </c>
      <c r="W145" s="5" t="s">
        <v>277</v>
      </c>
      <c r="X145" s="3">
        <v>0</v>
      </c>
      <c r="Y145" s="3">
        <v>0</v>
      </c>
      <c r="Z145" s="1">
        <v>0</v>
      </c>
      <c r="AA145" s="7">
        <f>((R145-T145)/T145)*100</f>
        <v>0</v>
      </c>
      <c r="AB145" s="3">
        <v>0.3</v>
      </c>
      <c r="AC145" s="3">
        <v>0</v>
      </c>
      <c r="AD145" s="3">
        <v>0</v>
      </c>
      <c r="AE145" s="3">
        <v>0</v>
      </c>
      <c r="AF145" s="3">
        <v>0</v>
      </c>
      <c r="AG145" s="3">
        <f>P145*R145</f>
        <v>2976</v>
      </c>
      <c r="AH145" s="3">
        <f>P145*T145</f>
        <v>2976</v>
      </c>
      <c r="AI145" s="6">
        <f>AG145/U145</f>
        <v>21.257142857142856</v>
      </c>
      <c r="AJ145" s="6">
        <f>AH145/U145</f>
        <v>21.257142857142856</v>
      </c>
      <c r="AK145" s="3">
        <v>0</v>
      </c>
    </row>
    <row r="146" spans="1:37" x14ac:dyDescent="0.3">
      <c r="A146" s="3">
        <v>145</v>
      </c>
      <c r="B146" t="s">
        <v>290</v>
      </c>
      <c r="C146" s="3" t="s">
        <v>304</v>
      </c>
      <c r="D146" s="3">
        <v>2.5</v>
      </c>
      <c r="E146" s="3">
        <v>1</v>
      </c>
      <c r="F146" s="3">
        <v>7</v>
      </c>
      <c r="G146" s="3">
        <v>5</v>
      </c>
      <c r="H146" s="6">
        <f>(F146+G146)/2</f>
        <v>6</v>
      </c>
      <c r="I146" s="3">
        <v>3</v>
      </c>
      <c r="J146" s="3">
        <v>5</v>
      </c>
      <c r="K146" s="6">
        <f>(J146+I146)/2</f>
        <v>4</v>
      </c>
      <c r="L146" s="6">
        <f t="shared" si="2"/>
        <v>24</v>
      </c>
      <c r="M146" s="3">
        <v>16</v>
      </c>
      <c r="N146" s="3">
        <v>7</v>
      </c>
      <c r="O146" s="3">
        <v>8</v>
      </c>
      <c r="P146" s="3">
        <v>16</v>
      </c>
      <c r="Q146" s="6">
        <f>(P146-O146)/O146</f>
        <v>1</v>
      </c>
      <c r="R146" s="1">
        <v>278</v>
      </c>
      <c r="S146" s="16">
        <v>0.4946236559139785</v>
      </c>
      <c r="T146" s="1">
        <v>232</v>
      </c>
      <c r="U146" s="3">
        <v>170</v>
      </c>
      <c r="V146" s="3">
        <v>0</v>
      </c>
      <c r="W146" s="5" t="s">
        <v>278</v>
      </c>
      <c r="X146" s="3">
        <v>0</v>
      </c>
      <c r="Y146" s="3">
        <v>0</v>
      </c>
      <c r="Z146" s="1">
        <v>0</v>
      </c>
      <c r="AA146" s="7">
        <f>((R146-T146)/T146)*100</f>
        <v>19.827586206896552</v>
      </c>
      <c r="AB146" s="3">
        <v>0.3</v>
      </c>
      <c r="AC146" s="3">
        <v>0</v>
      </c>
      <c r="AD146" s="3">
        <v>0</v>
      </c>
      <c r="AE146" s="3">
        <v>0</v>
      </c>
      <c r="AF146" s="3">
        <v>0</v>
      </c>
      <c r="AG146" s="3">
        <f>P146*R146</f>
        <v>4448</v>
      </c>
      <c r="AH146" s="3">
        <f>P146*T146</f>
        <v>3712</v>
      </c>
      <c r="AI146" s="6">
        <f>AG146/U146</f>
        <v>26.164705882352941</v>
      </c>
      <c r="AJ146" s="6">
        <f>AH146/U146</f>
        <v>21.835294117647059</v>
      </c>
      <c r="AK146" s="3">
        <v>0</v>
      </c>
    </row>
    <row r="147" spans="1:37" x14ac:dyDescent="0.3">
      <c r="A147" s="3">
        <v>146</v>
      </c>
      <c r="B147" t="s">
        <v>291</v>
      </c>
      <c r="C147" s="3" t="s">
        <v>304</v>
      </c>
      <c r="D147" s="3">
        <v>3</v>
      </c>
      <c r="E147" s="3">
        <v>0</v>
      </c>
      <c r="F147" s="3">
        <v>5</v>
      </c>
      <c r="G147" s="3">
        <v>10</v>
      </c>
      <c r="H147" s="6">
        <f>(F147+G147)/2</f>
        <v>7.5</v>
      </c>
      <c r="I147" s="3">
        <v>3</v>
      </c>
      <c r="J147" s="3">
        <v>5</v>
      </c>
      <c r="K147" s="6">
        <f>(J147+I147)/2</f>
        <v>4</v>
      </c>
      <c r="L147" s="6">
        <f t="shared" si="2"/>
        <v>30</v>
      </c>
      <c r="M147" s="3">
        <v>25</v>
      </c>
      <c r="N147" s="3">
        <v>4</v>
      </c>
      <c r="O147" s="3">
        <v>6</v>
      </c>
      <c r="P147" s="3">
        <v>15</v>
      </c>
      <c r="Q147" s="6">
        <f>(P147-O147)/O147</f>
        <v>1.5</v>
      </c>
      <c r="R147" s="1">
        <v>198</v>
      </c>
      <c r="S147" s="16">
        <v>0</v>
      </c>
      <c r="T147" s="1">
        <v>248</v>
      </c>
      <c r="U147" s="3">
        <v>200</v>
      </c>
      <c r="V147" s="3">
        <v>0</v>
      </c>
      <c r="X147" s="3">
        <v>0</v>
      </c>
      <c r="Y147" s="3">
        <v>0</v>
      </c>
      <c r="Z147" s="1">
        <v>0</v>
      </c>
      <c r="AA147" s="7">
        <f>((R147-T147)/T147)*100</f>
        <v>-20.161290322580644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f>P147*R147</f>
        <v>2970</v>
      </c>
      <c r="AH147" s="3">
        <f>P147*T147</f>
        <v>3720</v>
      </c>
      <c r="AI147" s="6">
        <f>AG147/U147</f>
        <v>14.85</v>
      </c>
      <c r="AJ147" s="6">
        <f>AH147/U147</f>
        <v>18.600000000000001</v>
      </c>
      <c r="AK147" s="3">
        <v>0</v>
      </c>
    </row>
    <row r="148" spans="1:37" x14ac:dyDescent="0.3">
      <c r="A148" s="3">
        <v>147</v>
      </c>
      <c r="B148" t="s">
        <v>293</v>
      </c>
      <c r="C148" s="3" t="s">
        <v>304</v>
      </c>
      <c r="D148" s="3">
        <v>3.5</v>
      </c>
      <c r="E148" s="3">
        <v>1</v>
      </c>
      <c r="F148" s="3">
        <v>5</v>
      </c>
      <c r="G148" s="3">
        <v>11</v>
      </c>
      <c r="H148" s="6">
        <f>(F148+G148)/2</f>
        <v>8</v>
      </c>
      <c r="I148" s="3">
        <v>3</v>
      </c>
      <c r="J148" s="3">
        <v>5</v>
      </c>
      <c r="K148" s="6">
        <f>(J148+I148)/2</f>
        <v>4</v>
      </c>
      <c r="L148" s="6">
        <f t="shared" si="2"/>
        <v>32</v>
      </c>
      <c r="M148" s="3">
        <v>25</v>
      </c>
      <c r="N148" s="3">
        <v>6</v>
      </c>
      <c r="O148" s="3">
        <v>6</v>
      </c>
      <c r="P148" s="3">
        <v>15</v>
      </c>
      <c r="Q148" s="6">
        <f>(P148-O148)/O148</f>
        <v>1.5</v>
      </c>
      <c r="R148" s="1">
        <v>256</v>
      </c>
      <c r="S148" s="16">
        <v>0.29292929292929293</v>
      </c>
      <c r="T148" s="1">
        <v>256</v>
      </c>
      <c r="U148" s="3">
        <v>230</v>
      </c>
      <c r="V148" s="3">
        <v>0</v>
      </c>
      <c r="X148" s="3">
        <v>0</v>
      </c>
      <c r="Y148" s="3">
        <v>0</v>
      </c>
      <c r="Z148" s="1">
        <v>0</v>
      </c>
      <c r="AA148" s="7">
        <f>((R148-T148)/T148)*100</f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f>P148*R148</f>
        <v>3840</v>
      </c>
      <c r="AH148" s="3">
        <f>P148*T148</f>
        <v>3840</v>
      </c>
      <c r="AI148" s="6">
        <f>AG148/U148</f>
        <v>16.695652173913043</v>
      </c>
      <c r="AJ148" s="6">
        <f>AH148/U148</f>
        <v>16.695652173913043</v>
      </c>
      <c r="AK148" s="3">
        <v>0</v>
      </c>
    </row>
    <row r="149" spans="1:37" x14ac:dyDescent="0.3">
      <c r="A149" s="3">
        <v>148</v>
      </c>
      <c r="B149" t="s">
        <v>294</v>
      </c>
      <c r="C149" s="3" t="s">
        <v>304</v>
      </c>
      <c r="D149" s="3">
        <v>4</v>
      </c>
      <c r="E149" s="3">
        <v>0</v>
      </c>
      <c r="F149" s="3">
        <v>12</v>
      </c>
      <c r="G149" s="3">
        <v>10</v>
      </c>
      <c r="H149" s="6">
        <f>(F149+G149)/2</f>
        <v>11</v>
      </c>
      <c r="I149" s="3">
        <v>7</v>
      </c>
      <c r="J149" s="3">
        <v>7</v>
      </c>
      <c r="K149" s="6">
        <f>(J149+I149)/2</f>
        <v>7</v>
      </c>
      <c r="L149" s="6">
        <f t="shared" si="2"/>
        <v>77</v>
      </c>
      <c r="M149" s="3">
        <v>30</v>
      </c>
      <c r="N149" s="3">
        <v>8</v>
      </c>
      <c r="O149" s="3">
        <v>5</v>
      </c>
      <c r="P149" s="3">
        <v>10</v>
      </c>
      <c r="Q149" s="6">
        <f>(P149-O149)/O149</f>
        <v>1</v>
      </c>
      <c r="R149" s="1">
        <v>669</v>
      </c>
      <c r="S149" s="16">
        <v>0</v>
      </c>
      <c r="T149" s="1">
        <v>398</v>
      </c>
      <c r="U149" s="3">
        <v>350</v>
      </c>
      <c r="V149" s="3">
        <v>0</v>
      </c>
      <c r="W149" s="5" t="s">
        <v>279</v>
      </c>
      <c r="X149" s="3">
        <v>0</v>
      </c>
      <c r="Y149" s="3">
        <v>0</v>
      </c>
      <c r="Z149" s="1">
        <v>0</v>
      </c>
      <c r="AA149" s="7">
        <f>((R149-T149)/T149)*100</f>
        <v>68.090452261306538</v>
      </c>
      <c r="AB149" s="3">
        <v>0.15</v>
      </c>
      <c r="AC149" s="3">
        <v>0</v>
      </c>
      <c r="AD149" s="3">
        <v>0.1</v>
      </c>
      <c r="AE149" s="3">
        <v>1</v>
      </c>
      <c r="AF149" s="3">
        <v>0</v>
      </c>
      <c r="AG149" s="3">
        <f>P149*R149</f>
        <v>6690</v>
      </c>
      <c r="AH149" s="3">
        <f>P149*T149</f>
        <v>3980</v>
      </c>
      <c r="AI149" s="6">
        <f>AG149/U149</f>
        <v>19.114285714285714</v>
      </c>
      <c r="AJ149" s="6">
        <f>AH149/U149</f>
        <v>11.371428571428572</v>
      </c>
      <c r="AK149" s="3">
        <v>0</v>
      </c>
    </row>
    <row r="150" spans="1:37" x14ac:dyDescent="0.3">
      <c r="A150" s="3">
        <v>149</v>
      </c>
      <c r="B150" t="s">
        <v>295</v>
      </c>
      <c r="C150" s="3" t="s">
        <v>304</v>
      </c>
      <c r="D150" s="3">
        <v>4.5</v>
      </c>
      <c r="E150" s="3">
        <v>1</v>
      </c>
      <c r="F150" s="3">
        <v>12</v>
      </c>
      <c r="G150" s="3">
        <v>10</v>
      </c>
      <c r="H150" s="6">
        <f>(F150+G150)/2</f>
        <v>11</v>
      </c>
      <c r="I150" s="3">
        <v>9</v>
      </c>
      <c r="J150" s="3">
        <v>9</v>
      </c>
      <c r="K150" s="6">
        <f>(J150+I150)/2</f>
        <v>9</v>
      </c>
      <c r="L150" s="6">
        <f t="shared" si="2"/>
        <v>99</v>
      </c>
      <c r="M150" s="3">
        <v>30</v>
      </c>
      <c r="N150" s="3">
        <v>9</v>
      </c>
      <c r="O150" s="3">
        <v>5</v>
      </c>
      <c r="P150" s="3">
        <v>10</v>
      </c>
      <c r="Q150" s="6">
        <f>(P150-O150)/O150</f>
        <v>1</v>
      </c>
      <c r="R150" s="1">
        <v>947</v>
      </c>
      <c r="S150" s="16">
        <v>0.41554559043348283</v>
      </c>
      <c r="T150" s="1">
        <v>631</v>
      </c>
      <c r="U150" s="3">
        <v>450</v>
      </c>
      <c r="V150" s="3">
        <v>0</v>
      </c>
      <c r="W150" s="5" t="s">
        <v>280</v>
      </c>
      <c r="X150" s="3">
        <v>0</v>
      </c>
      <c r="Y150" s="3">
        <v>0</v>
      </c>
      <c r="Z150" s="1">
        <v>1</v>
      </c>
      <c r="AA150" s="7">
        <f>((R150-T150)/T150)*100</f>
        <v>50.079239302694134</v>
      </c>
      <c r="AB150" s="3">
        <v>0.15</v>
      </c>
      <c r="AC150" s="3">
        <v>0</v>
      </c>
      <c r="AD150" s="3">
        <v>0.1</v>
      </c>
      <c r="AE150" s="3">
        <v>1</v>
      </c>
      <c r="AF150" s="3">
        <v>0</v>
      </c>
      <c r="AG150" s="3">
        <f>P150*R150</f>
        <v>9470</v>
      </c>
      <c r="AH150" s="3">
        <f>P150*T150</f>
        <v>6310</v>
      </c>
      <c r="AI150" s="6">
        <f>AG150/U150</f>
        <v>21.044444444444444</v>
      </c>
      <c r="AJ150" s="6">
        <f>AH150/U150</f>
        <v>14.022222222222222</v>
      </c>
      <c r="AK150" s="3">
        <v>0</v>
      </c>
    </row>
    <row r="151" spans="1:37" x14ac:dyDescent="0.3">
      <c r="A151" s="3">
        <v>150</v>
      </c>
      <c r="B151" t="s">
        <v>296</v>
      </c>
      <c r="C151" s="3" t="s">
        <v>304</v>
      </c>
      <c r="D151" s="3">
        <v>5</v>
      </c>
      <c r="E151" s="3">
        <v>0</v>
      </c>
      <c r="F151" s="3">
        <v>13</v>
      </c>
      <c r="G151" s="3">
        <v>12</v>
      </c>
      <c r="H151" s="6">
        <f>(F151+G151)/2</f>
        <v>12.5</v>
      </c>
      <c r="I151" s="3">
        <v>12</v>
      </c>
      <c r="J151" s="3">
        <v>16</v>
      </c>
      <c r="K151" s="6">
        <f>(J151+I151)/2</f>
        <v>14</v>
      </c>
      <c r="L151" s="6">
        <f t="shared" si="2"/>
        <v>175</v>
      </c>
      <c r="M151" s="3">
        <v>50</v>
      </c>
      <c r="N151" s="3">
        <v>8</v>
      </c>
      <c r="O151" s="3">
        <v>3</v>
      </c>
      <c r="P151" s="3">
        <v>6</v>
      </c>
      <c r="Q151" s="6">
        <f>(P151-O151)/O151</f>
        <v>1</v>
      </c>
      <c r="R151" s="1">
        <v>991</v>
      </c>
      <c r="S151" s="16">
        <v>0</v>
      </c>
      <c r="T151" s="1">
        <v>793</v>
      </c>
      <c r="U151" s="3">
        <v>575</v>
      </c>
      <c r="V151" s="3">
        <v>0</v>
      </c>
      <c r="W151" s="5" t="s">
        <v>281</v>
      </c>
      <c r="X151" s="3">
        <v>0</v>
      </c>
      <c r="Y151" s="3">
        <v>1</v>
      </c>
      <c r="Z151" s="1">
        <v>0</v>
      </c>
      <c r="AA151" s="7">
        <f>((R151-T151)/T151)*100</f>
        <v>24.968474148802017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f>P151*R151</f>
        <v>5946</v>
      </c>
      <c r="AH151" s="3">
        <f>P151*T151</f>
        <v>4758</v>
      </c>
      <c r="AI151" s="6">
        <f>AG151/U151</f>
        <v>10.340869565217391</v>
      </c>
      <c r="AJ151" s="6">
        <f>AH151/U151</f>
        <v>8.2747826086956522</v>
      </c>
      <c r="AK151" s="3">
        <v>1</v>
      </c>
    </row>
    <row r="152" spans="1:37" x14ac:dyDescent="0.3">
      <c r="A152" s="3">
        <v>151</v>
      </c>
      <c r="B152" t="s">
        <v>297</v>
      </c>
      <c r="C152" s="3" t="s">
        <v>304</v>
      </c>
      <c r="D152" s="3">
        <v>5.5</v>
      </c>
      <c r="E152" s="3">
        <v>1</v>
      </c>
      <c r="F152" s="3">
        <v>15</v>
      </c>
      <c r="G152" s="3">
        <v>12</v>
      </c>
      <c r="H152" s="6">
        <f>(F152+G152)/2</f>
        <v>13.5</v>
      </c>
      <c r="I152" s="3">
        <v>12</v>
      </c>
      <c r="J152" s="3">
        <v>16</v>
      </c>
      <c r="K152" s="6">
        <f>(J152+I152)/2</f>
        <v>14</v>
      </c>
      <c r="L152" s="6">
        <f t="shared" si="2"/>
        <v>189</v>
      </c>
      <c r="M152" s="3">
        <v>60</v>
      </c>
      <c r="N152" s="3">
        <v>10</v>
      </c>
      <c r="O152" s="3">
        <v>3</v>
      </c>
      <c r="P152" s="3">
        <v>6</v>
      </c>
      <c r="Q152" s="6">
        <f>(P152-O152)/O152</f>
        <v>1</v>
      </c>
      <c r="R152" s="1">
        <v>1220</v>
      </c>
      <c r="S152" s="16">
        <v>0.23107971745711403</v>
      </c>
      <c r="T152" s="1">
        <v>894</v>
      </c>
      <c r="U152" s="3">
        <v>650</v>
      </c>
      <c r="V152" s="3">
        <v>0</v>
      </c>
      <c r="W152" s="5" t="s">
        <v>282</v>
      </c>
      <c r="X152" s="3">
        <v>0</v>
      </c>
      <c r="Y152" s="3">
        <v>1</v>
      </c>
      <c r="Z152" s="1">
        <v>0</v>
      </c>
      <c r="AA152" s="7">
        <f>((R152-T152)/T152)*100</f>
        <v>36.465324384787472</v>
      </c>
      <c r="AB152" s="3">
        <v>0.15</v>
      </c>
      <c r="AC152" s="3">
        <v>0</v>
      </c>
      <c r="AD152" s="3">
        <v>0</v>
      </c>
      <c r="AE152" s="3">
        <v>0</v>
      </c>
      <c r="AF152" s="3">
        <v>0</v>
      </c>
      <c r="AG152" s="3">
        <f>P152*R152</f>
        <v>7320</v>
      </c>
      <c r="AH152" s="3">
        <f>P152*T152</f>
        <v>5364</v>
      </c>
      <c r="AI152" s="6">
        <f>AG152/U152</f>
        <v>11.261538461538462</v>
      </c>
      <c r="AJ152" s="6">
        <f>AH152/U152</f>
        <v>8.2523076923076921</v>
      </c>
      <c r="AK152" s="3">
        <v>1</v>
      </c>
    </row>
    <row r="153" spans="1:37" x14ac:dyDescent="0.3">
      <c r="A153" s="3">
        <v>152</v>
      </c>
      <c r="B153" t="s">
        <v>298</v>
      </c>
      <c r="C153" s="3" t="s">
        <v>304</v>
      </c>
      <c r="D153" s="3">
        <v>6</v>
      </c>
      <c r="E153" s="3">
        <v>0</v>
      </c>
      <c r="F153" s="3">
        <v>17</v>
      </c>
      <c r="G153" s="3">
        <v>12</v>
      </c>
      <c r="H153" s="6">
        <f>(F153+G153)/2</f>
        <v>14.5</v>
      </c>
      <c r="I153" s="3">
        <v>14</v>
      </c>
      <c r="J153" s="3">
        <v>24</v>
      </c>
      <c r="K153" s="6">
        <f>(J153+I153)/2</f>
        <v>19</v>
      </c>
      <c r="L153" s="6">
        <f t="shared" si="2"/>
        <v>275.5</v>
      </c>
      <c r="M153" s="3">
        <v>45</v>
      </c>
      <c r="N153" s="3">
        <v>7</v>
      </c>
      <c r="O153" s="3">
        <v>2</v>
      </c>
      <c r="P153" s="3">
        <v>4</v>
      </c>
      <c r="Q153" s="6">
        <f>(P153-O153)/O153</f>
        <v>1</v>
      </c>
      <c r="R153" s="1">
        <v>1351</v>
      </c>
      <c r="S153" s="16">
        <v>0</v>
      </c>
      <c r="T153" s="1">
        <v>904</v>
      </c>
      <c r="U153" s="3">
        <v>800</v>
      </c>
      <c r="V153" s="3">
        <v>0</v>
      </c>
      <c r="W153" s="5" t="s">
        <v>283</v>
      </c>
      <c r="X153" s="3">
        <v>1</v>
      </c>
      <c r="Y153" s="3">
        <v>0</v>
      </c>
      <c r="Z153" s="1">
        <v>0</v>
      </c>
      <c r="AA153" s="7">
        <f>((R153-T153)/T153)*100</f>
        <v>49.446902654867259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f>P153*R153</f>
        <v>5404</v>
      </c>
      <c r="AH153" s="3">
        <f>P153*T153</f>
        <v>3616</v>
      </c>
      <c r="AI153" s="6">
        <f>AG153/U153</f>
        <v>6.7549999999999999</v>
      </c>
      <c r="AJ153" s="6">
        <f>AH153/U153</f>
        <v>4.5199999999999996</v>
      </c>
      <c r="AK153" s="3">
        <v>1</v>
      </c>
    </row>
    <row r="154" spans="1:37" x14ac:dyDescent="0.3">
      <c r="A154" s="3">
        <v>153</v>
      </c>
      <c r="B154" t="s">
        <v>299</v>
      </c>
      <c r="C154" s="3" t="s">
        <v>304</v>
      </c>
      <c r="D154" s="3">
        <v>6.5</v>
      </c>
      <c r="E154" s="3">
        <v>1</v>
      </c>
      <c r="F154" s="3">
        <v>18</v>
      </c>
      <c r="G154" s="3">
        <v>14</v>
      </c>
      <c r="H154" s="6">
        <f>(F154+G154)/2</f>
        <v>16</v>
      </c>
      <c r="I154" s="3">
        <v>14</v>
      </c>
      <c r="J154" s="3">
        <v>24</v>
      </c>
      <c r="K154" s="6">
        <f>(J154+I154)/2</f>
        <v>19</v>
      </c>
      <c r="L154" s="6">
        <f t="shared" si="2"/>
        <v>304</v>
      </c>
      <c r="M154" s="3">
        <v>45</v>
      </c>
      <c r="N154" s="3">
        <v>8</v>
      </c>
      <c r="O154" s="3">
        <v>2</v>
      </c>
      <c r="P154" s="3">
        <v>4</v>
      </c>
      <c r="Q154" s="6">
        <f>(P154-O154)/O154</f>
        <v>1</v>
      </c>
      <c r="R154" s="1">
        <v>1454</v>
      </c>
      <c r="S154" s="16">
        <v>7.6239822353811992E-2</v>
      </c>
      <c r="T154" s="1">
        <v>932</v>
      </c>
      <c r="U154" s="3">
        <v>1100</v>
      </c>
      <c r="V154" s="3">
        <v>0</v>
      </c>
      <c r="W154" s="5" t="s">
        <v>284</v>
      </c>
      <c r="X154" s="3">
        <v>1</v>
      </c>
      <c r="Y154" s="3">
        <v>0</v>
      </c>
      <c r="Z154" s="1">
        <v>0</v>
      </c>
      <c r="AA154" s="7">
        <f>((R154-T154)/T154)*100</f>
        <v>56.008583690987123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f>P154*R154</f>
        <v>5816</v>
      </c>
      <c r="AH154" s="3">
        <f>P154*T154</f>
        <v>3728</v>
      </c>
      <c r="AI154" s="6">
        <f>AG154/U154</f>
        <v>5.2872727272727271</v>
      </c>
      <c r="AJ154" s="6">
        <f>AH154/U154</f>
        <v>3.3890909090909092</v>
      </c>
      <c r="AK154" s="3">
        <v>1</v>
      </c>
    </row>
    <row r="155" spans="1:37" x14ac:dyDescent="0.3">
      <c r="A155" s="3">
        <v>154</v>
      </c>
      <c r="B155" t="s">
        <v>300</v>
      </c>
      <c r="C155" s="3" t="s">
        <v>304</v>
      </c>
      <c r="D155" s="3">
        <v>7</v>
      </c>
      <c r="E155" s="3">
        <v>0</v>
      </c>
      <c r="F155" s="3">
        <v>17</v>
      </c>
      <c r="G155" s="3">
        <v>17</v>
      </c>
      <c r="H155" s="6">
        <f>(F155+G155)/2</f>
        <v>17</v>
      </c>
      <c r="I155" s="3">
        <v>25</v>
      </c>
      <c r="J155" s="3">
        <v>45</v>
      </c>
      <c r="K155" s="6">
        <f>(J155+I155)/2</f>
        <v>35</v>
      </c>
      <c r="L155" s="6">
        <f t="shared" si="2"/>
        <v>595</v>
      </c>
      <c r="M155" s="3">
        <v>160</v>
      </c>
      <c r="N155" s="3">
        <v>11</v>
      </c>
      <c r="O155" s="3">
        <v>1</v>
      </c>
      <c r="P155" s="3">
        <v>2</v>
      </c>
      <c r="Q155" s="6">
        <f>(P155-O155)/O155</f>
        <v>1</v>
      </c>
      <c r="R155" s="1">
        <v>3574</v>
      </c>
      <c r="S155" s="16">
        <v>0</v>
      </c>
      <c r="T155" s="1">
        <v>2521</v>
      </c>
      <c r="U155" s="3">
        <v>2000</v>
      </c>
      <c r="V155" s="3">
        <v>0</v>
      </c>
      <c r="W155" s="5" t="s">
        <v>285</v>
      </c>
      <c r="X155" s="3">
        <v>0</v>
      </c>
      <c r="Y155" s="3">
        <v>1</v>
      </c>
      <c r="Z155" s="1">
        <v>0</v>
      </c>
      <c r="AA155" s="7">
        <f>((R155-T155)/T155)*100</f>
        <v>41.769139230464106</v>
      </c>
      <c r="AB155" s="3">
        <v>0</v>
      </c>
      <c r="AC155" s="3">
        <v>0</v>
      </c>
      <c r="AD155" s="3">
        <v>0.5</v>
      </c>
      <c r="AE155" s="3">
        <v>0.5</v>
      </c>
      <c r="AF155" s="3">
        <v>0</v>
      </c>
      <c r="AG155" s="3">
        <f>P155*R155</f>
        <v>7148</v>
      </c>
      <c r="AH155" s="3">
        <f>P155*T155</f>
        <v>5042</v>
      </c>
      <c r="AI155" s="6">
        <f>AG155/U155</f>
        <v>3.5739999999999998</v>
      </c>
      <c r="AJ155" s="6">
        <f>AH155/U155</f>
        <v>2.5209999999999999</v>
      </c>
      <c r="AK155" s="3">
        <v>1</v>
      </c>
    </row>
    <row r="156" spans="1:37" x14ac:dyDescent="0.3">
      <c r="A156" s="3">
        <v>155</v>
      </c>
      <c r="B156" t="s">
        <v>301</v>
      </c>
      <c r="C156" s="3" t="s">
        <v>304</v>
      </c>
      <c r="D156" s="3">
        <v>7.5</v>
      </c>
      <c r="E156" s="3">
        <v>1</v>
      </c>
      <c r="F156" s="3">
        <v>21</v>
      </c>
      <c r="G156" s="3">
        <v>21</v>
      </c>
      <c r="H156" s="6">
        <f>(F156+G156)/2</f>
        <v>21</v>
      </c>
      <c r="I156" s="3">
        <v>25</v>
      </c>
      <c r="J156" s="3">
        <v>45</v>
      </c>
      <c r="K156" s="6">
        <f>(J156+I156)/2</f>
        <v>35</v>
      </c>
      <c r="L156" s="6">
        <f t="shared" si="2"/>
        <v>735</v>
      </c>
      <c r="M156" s="3">
        <v>200</v>
      </c>
      <c r="N156" s="3">
        <v>15</v>
      </c>
      <c r="O156" s="3">
        <v>1</v>
      </c>
      <c r="P156" s="3">
        <v>2</v>
      </c>
      <c r="Q156" s="6">
        <f>(P156-O156)/O156</f>
        <v>1</v>
      </c>
      <c r="R156" s="1">
        <v>5341</v>
      </c>
      <c r="S156" s="16">
        <v>0.49440402909904868</v>
      </c>
      <c r="T156" s="1">
        <v>3815</v>
      </c>
      <c r="U156" s="3">
        <v>3500</v>
      </c>
      <c r="V156" s="3">
        <v>1</v>
      </c>
      <c r="W156" s="5" t="s">
        <v>286</v>
      </c>
      <c r="X156" s="3">
        <v>0</v>
      </c>
      <c r="Y156" s="3">
        <v>1</v>
      </c>
      <c r="Z156" s="1">
        <v>0</v>
      </c>
      <c r="AA156" s="7">
        <f>((R156-T156)/T156)*100</f>
        <v>40</v>
      </c>
      <c r="AB156" s="3">
        <v>0</v>
      </c>
      <c r="AC156" s="3">
        <v>0</v>
      </c>
      <c r="AD156" s="3">
        <v>0.5</v>
      </c>
      <c r="AE156" s="3">
        <v>0.5</v>
      </c>
      <c r="AF156" s="3">
        <v>0</v>
      </c>
      <c r="AG156" s="3">
        <f>P156*R156</f>
        <v>10682</v>
      </c>
      <c r="AH156" s="3">
        <f>P156*T156</f>
        <v>7630</v>
      </c>
      <c r="AI156" s="6">
        <f>AG156/U156</f>
        <v>3.052</v>
      </c>
      <c r="AJ156" s="6">
        <f>AH156/U156</f>
        <v>2.1800000000000002</v>
      </c>
      <c r="AK156" s="3">
        <v>1</v>
      </c>
    </row>
    <row r="157" spans="1:37" x14ac:dyDescent="0.3">
      <c r="A157" s="3">
        <v>156</v>
      </c>
      <c r="B157" t="s">
        <v>302</v>
      </c>
      <c r="C157" s="3" t="s">
        <v>304</v>
      </c>
      <c r="D157" s="3">
        <v>7</v>
      </c>
      <c r="E157" s="3">
        <v>0</v>
      </c>
      <c r="F157" s="3">
        <v>18</v>
      </c>
      <c r="G157" s="3">
        <v>20</v>
      </c>
      <c r="H157" s="6">
        <f>(F157+G157)/2</f>
        <v>19</v>
      </c>
      <c r="I157" s="3">
        <v>40</v>
      </c>
      <c r="J157" s="3">
        <v>50</v>
      </c>
      <c r="K157" s="6">
        <f>(J157+I157)/2</f>
        <v>45</v>
      </c>
      <c r="L157" s="6">
        <f t="shared" si="2"/>
        <v>855</v>
      </c>
      <c r="M157" s="3">
        <v>200</v>
      </c>
      <c r="N157" s="3">
        <v>6</v>
      </c>
      <c r="O157" s="3">
        <v>1</v>
      </c>
      <c r="P157" s="3">
        <v>2</v>
      </c>
      <c r="Q157" s="6">
        <f>(P157-O157)/O157</f>
        <v>1</v>
      </c>
      <c r="R157" s="1">
        <v>3879</v>
      </c>
      <c r="S157" s="16">
        <v>0</v>
      </c>
      <c r="T157" s="1">
        <v>3879</v>
      </c>
      <c r="U157" s="3">
        <v>2200</v>
      </c>
      <c r="V157" s="3">
        <v>1</v>
      </c>
      <c r="W157" s="5" t="s">
        <v>287</v>
      </c>
      <c r="X157" s="3">
        <v>0</v>
      </c>
      <c r="Y157" s="3">
        <v>0</v>
      </c>
      <c r="Z157" s="1">
        <v>0</v>
      </c>
      <c r="AA157" s="7">
        <f>((R157-T157)/T157)*100</f>
        <v>0</v>
      </c>
      <c r="AB157" s="3">
        <v>0.5</v>
      </c>
      <c r="AC157" s="3">
        <v>0</v>
      </c>
      <c r="AD157" s="3">
        <v>0.1</v>
      </c>
      <c r="AE157" s="3">
        <v>0</v>
      </c>
      <c r="AF157" s="3">
        <v>0</v>
      </c>
      <c r="AG157" s="3">
        <f>P157*R157</f>
        <v>7758</v>
      </c>
      <c r="AH157" s="3">
        <f>P157*T157</f>
        <v>7758</v>
      </c>
      <c r="AI157" s="6">
        <f>AG157/U157</f>
        <v>3.5263636363636364</v>
      </c>
      <c r="AJ157" s="6">
        <f>AH157/U157</f>
        <v>3.5263636363636364</v>
      </c>
      <c r="AK157" s="3">
        <v>0</v>
      </c>
    </row>
    <row r="158" spans="1:37" x14ac:dyDescent="0.3">
      <c r="A158" s="3">
        <v>157</v>
      </c>
      <c r="B158" t="s">
        <v>303</v>
      </c>
      <c r="C158" s="3" t="s">
        <v>304</v>
      </c>
      <c r="D158" s="3">
        <v>7.5</v>
      </c>
      <c r="E158" s="3">
        <v>1</v>
      </c>
      <c r="F158" s="3">
        <v>23</v>
      </c>
      <c r="G158" s="3">
        <v>23</v>
      </c>
      <c r="H158" s="6">
        <f>(F158+G158)/2</f>
        <v>23</v>
      </c>
      <c r="I158" s="3">
        <v>40</v>
      </c>
      <c r="J158" s="3">
        <v>50</v>
      </c>
      <c r="K158" s="6">
        <f>(J158+I158)/2</f>
        <v>45</v>
      </c>
      <c r="L158" s="6">
        <f t="shared" si="2"/>
        <v>1035</v>
      </c>
      <c r="M158" s="3">
        <v>300</v>
      </c>
      <c r="N158" s="3">
        <v>7</v>
      </c>
      <c r="O158" s="3">
        <v>1</v>
      </c>
      <c r="P158" s="3">
        <v>2</v>
      </c>
      <c r="Q158" s="6">
        <f>(P158-O158)/O158</f>
        <v>1</v>
      </c>
      <c r="R158" s="1">
        <v>6433</v>
      </c>
      <c r="S158" s="16">
        <v>0.65841711781386958</v>
      </c>
      <c r="T158" s="1">
        <v>5361</v>
      </c>
      <c r="U158" s="3">
        <v>3500</v>
      </c>
      <c r="V158" s="3">
        <v>2</v>
      </c>
      <c r="W158" s="5" t="s">
        <v>287</v>
      </c>
      <c r="X158" s="3">
        <v>0</v>
      </c>
      <c r="Y158" s="3">
        <v>0</v>
      </c>
      <c r="Z158" s="1">
        <v>0</v>
      </c>
      <c r="AA158" s="7">
        <f>((R158-T158)/T158)*100</f>
        <v>19.9962693527327</v>
      </c>
      <c r="AB158" s="3">
        <v>0.5</v>
      </c>
      <c r="AC158" s="3">
        <v>0</v>
      </c>
      <c r="AD158" s="3">
        <v>0.1</v>
      </c>
      <c r="AE158" s="3">
        <v>0</v>
      </c>
      <c r="AF158" s="3">
        <v>0</v>
      </c>
      <c r="AG158" s="3">
        <f>P158*R158</f>
        <v>12866</v>
      </c>
      <c r="AH158" s="3">
        <f>P158*T158</f>
        <v>10722</v>
      </c>
      <c r="AI158" s="6">
        <f>AG158/U158</f>
        <v>3.6760000000000002</v>
      </c>
      <c r="AJ158" s="6">
        <f>AH158/U158</f>
        <v>3.0634285714285716</v>
      </c>
      <c r="AK158" s="3">
        <v>0</v>
      </c>
    </row>
  </sheetData>
  <autoFilter ref="A1:AK15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df_h3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tazar</dc:creator>
  <cp:lastModifiedBy>wtz</cp:lastModifiedBy>
  <dcterms:created xsi:type="dcterms:W3CDTF">2025-11-24T14:05:53Z</dcterms:created>
  <dcterms:modified xsi:type="dcterms:W3CDTF">2025-11-24T14:36:40Z</dcterms:modified>
</cp:coreProperties>
</file>